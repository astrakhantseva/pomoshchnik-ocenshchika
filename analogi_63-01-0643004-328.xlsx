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оги" sheetId="1" state="visible" r:id="rId1"/>
    <sheet xmlns:r="http://schemas.openxmlformats.org/officeDocument/2006/relationships" name="Рас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&quot; ₽&quot;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2" fillId="0" borderId="0" pivotButton="0" quotePrefix="0" xfId="1"/>
    <xf numFmtId="0" fontId="3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2" fontId="0" fillId="0" borderId="1" pivotButton="0" quotePrefix="0" xfId="0"/>
    <xf numFmtId="0" fontId="1" fillId="0" borderId="0" applyAlignment="1" pivotButton="0" quotePrefix="0" xfId="0">
      <alignment horizontal="right"/>
    </xf>
    <xf numFmtId="165" fontId="1" fillId="2" borderId="1" pivotButton="0" quotePrefix="0" xfId="0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alty.yandex.ru/offer/3962061881620206412" TargetMode="External" Id="rId1"/><Relationship Type="http://schemas.openxmlformats.org/officeDocument/2006/relationships/hyperlink" Target="https://mls-city.ru/prcomm/248_5/2880_248_1/" TargetMode="External" Id="rId2"/><Relationship Type="http://schemas.openxmlformats.org/officeDocument/2006/relationships/hyperlink" Target="https://realty.yandex.ru/offer/6035218987929247558" TargetMode="External" Id="rId3"/><Relationship Type="http://schemas.openxmlformats.org/officeDocument/2006/relationships/hyperlink" Target="http://nlre.ru/buy/commercial/commercial_97419.html" TargetMode="External" Id="rId4"/><Relationship Type="http://schemas.openxmlformats.org/officeDocument/2006/relationships/hyperlink" Target="https://mls-city.ru/prcomm/272_2/6320_272_1/" TargetMode="External" Id="rId5"/><Relationship Type="http://schemas.openxmlformats.org/officeDocument/2006/relationships/hyperlink" Target="https://mls-city.ru/prcomm/514_20/738_514_1/" TargetMode="External" Id="rId6"/><Relationship Type="http://schemas.openxmlformats.org/officeDocument/2006/relationships/hyperlink" Target="https://arrpro.ru/objects/getbyid.php?external_id=603f62ee-c608-4e0d-be2c-c293e99a1765" TargetMode="External" Id="rId7"/><Relationship Type="http://schemas.openxmlformats.org/officeDocument/2006/relationships/hyperlink" Target="https://arrpro.ru/objects/getbyid.php?external_id=3abca84e-cb74-49b0-9f7a-00de7c84381a" TargetMode="External" Id="rId8"/><Relationship Type="http://schemas.openxmlformats.org/officeDocument/2006/relationships/hyperlink" Target="https://mls-city.ru/prcomm/514_14/568_514_1/" TargetMode="External" Id="rId9"/><Relationship Type="http://schemas.openxmlformats.org/officeDocument/2006/relationships/hyperlink" Target="https://realty.yandex.ru/offer/260910279501071822" TargetMode="External" Id="rId10"/><Relationship Type="http://schemas.openxmlformats.org/officeDocument/2006/relationships/hyperlink" Target="https://arrpro.ru/objects/getbyid.php?external_id=9956c60f-0f62-41bb-90af-4cf20a0a434b" TargetMode="External" Id="rId11"/><Relationship Type="http://schemas.openxmlformats.org/officeDocument/2006/relationships/hyperlink" Target="https://arrpro.ru/objects/getbyid.php?external_id=5529ca8a-1de4-4fa9-968f-857c8ab9e561" TargetMode="External" Id="rId12"/><Relationship Type="http://schemas.openxmlformats.org/officeDocument/2006/relationships/hyperlink" Target="https://arrpro.ru/objects/getbyid.php?external_id=0f48efb8-5def-4053-b4fa-c18e85740765" TargetMode="External" Id="rId13"/><Relationship Type="http://schemas.openxmlformats.org/officeDocument/2006/relationships/hyperlink" Target="https://arrpro.ru/objects/getbyid.php?external_id=671c6695-067c-424a-a016-5e658942be40" TargetMode="External" Id="rId14"/><Relationship Type="http://schemas.openxmlformats.org/officeDocument/2006/relationships/hyperlink" Target="https://mls-city.ru/prcomm/514_4/655_514_1/" TargetMode="External" Id="rId15"/><Relationship Type="http://schemas.openxmlformats.org/officeDocument/2006/relationships/hyperlink" Target="https://mls-city.ru/prcomm/273_147/17335_273_1/" TargetMode="External" Id="rId16"/><Relationship Type="http://schemas.openxmlformats.org/officeDocument/2006/relationships/hyperlink" Target="https://ms-an.ru" TargetMode="External" Id="rId17"/><Relationship Type="http://schemas.openxmlformats.org/officeDocument/2006/relationships/hyperlink" Target="https://arrpro.ru/objects/getbyid.php?external_id=833b9053-8507-4c3e-9d96-38c8193b6c89" TargetMode="External" Id="rId18"/><Relationship Type="http://schemas.openxmlformats.org/officeDocument/2006/relationships/hyperlink" Target="https://mls-city.ru/prcomm/514_3/329_514_1/" TargetMode="External" Id="rId19"/><Relationship Type="http://schemas.openxmlformats.org/officeDocument/2006/relationships/hyperlink" Target="https://arrpro.ru/objects/getbyid.php?external_id=23c3f688-ecc8-4191-afc5-aca59e817e73" TargetMode="External" Id="rId20"/><Relationship Type="http://schemas.openxmlformats.org/officeDocument/2006/relationships/hyperlink" Target="https://realty.yandex.ru/offer/6350934387590104479" TargetMode="External" Id="rId21"/><Relationship Type="http://schemas.openxmlformats.org/officeDocument/2006/relationships/hyperlink" Target="https://mls-city.ru/prcomm/273_4/19024_273_1/" TargetMode="External" Id="rId22"/><Relationship Type="http://schemas.openxmlformats.org/officeDocument/2006/relationships/hyperlink" Target="https://realty.yandex.ru/offer/63028027043455078" TargetMode="External" Id="rId23"/><Relationship Type="http://schemas.openxmlformats.org/officeDocument/2006/relationships/hyperlink" Target="https://mls-city.ru/prcomm/203_745/2959_203_1/" TargetMode="External" Id="rId24"/><Relationship Type="http://schemas.openxmlformats.org/officeDocument/2006/relationships/hyperlink" Target="https://mls-city.ru/prcomm/514_14/62_514_1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  <col width="14" customWidth="1" min="4" max="4"/>
    <col width="16" customWidth="1" min="5" max="5"/>
    <col width="14" customWidth="1" min="6" max="6"/>
    <col width="18" customWidth="1" min="7" max="7"/>
    <col width="10" customWidth="1" min="8" max="8"/>
    <col width="52" customWidth="1" min="9" max="9"/>
    <col width="46" customWidth="1" min="10" max="10"/>
  </cols>
  <sheetData>
    <row r="1">
      <c r="A1" s="1" t="inlineStr">
        <is>
          <t>Аналог</t>
        </is>
      </c>
      <c r="B1" s="1" t="inlineStr">
        <is>
          <t>В расчёт</t>
        </is>
      </c>
      <c r="C1" s="1" t="inlineStr">
        <is>
          <t>Совпадение адреса</t>
        </is>
      </c>
      <c r="D1" s="1" t="inlineStr">
        <is>
          <t>Отклонение площади, %</t>
        </is>
      </c>
      <c r="E1" s="1" t="inlineStr">
        <is>
          <t>Цена, руб.</t>
        </is>
      </c>
      <c r="F1" s="1" t="inlineStr">
        <is>
          <t>Площадь, кв. м</t>
        </is>
      </c>
      <c r="G1" s="1" t="inlineStr">
        <is>
          <t>Цена за кв. м, руб.</t>
        </is>
      </c>
      <c r="H1" s="1" t="inlineStr">
        <is>
          <t>Этаж</t>
        </is>
      </c>
      <c r="I1" s="1" t="inlineStr">
        <is>
          <t>Адрес</t>
        </is>
      </c>
      <c r="J1" s="1" t="inlineStr">
        <is>
          <t>Ссылка</t>
        </is>
      </c>
    </row>
    <row r="2">
      <c r="A2" s="2" t="inlineStr">
        <is>
          <t>Офис, 87,2 кв. м, 1/9 эт.</t>
        </is>
      </c>
      <c r="B2" s="2" t="inlineStr">
        <is>
          <t>да</t>
        </is>
      </c>
      <c r="C2" s="2" t="inlineStr">
        <is>
          <t>тот же город</t>
        </is>
      </c>
      <c r="D2" s="3" t="n">
        <v>-2.6</v>
      </c>
      <c r="E2" s="4" t="n">
        <v>8400000</v>
      </c>
      <c r="F2" s="5" t="n">
        <v>87.2</v>
      </c>
      <c r="G2" s="4" t="n">
        <v>96330.27522935779</v>
      </c>
      <c r="H2" s="2" t="inlineStr">
        <is>
          <t>1/9</t>
        </is>
      </c>
      <c r="I2" s="2" t="inlineStr">
        <is>
          <t>Россия, Самара, улица Мориса Тореза, 103</t>
        </is>
      </c>
      <c r="J2" s="6" t="inlineStr">
        <is>
          <t>https://realty.yandex.ru/offer/3962061881620206412</t>
        </is>
      </c>
    </row>
    <row r="3">
      <c r="A3" s="2" t="inlineStr">
        <is>
          <t>Офис, 93,5 кв. м, 1/2 эт.</t>
        </is>
      </c>
      <c r="B3" s="2" t="inlineStr">
        <is>
          <t>да</t>
        </is>
      </c>
      <c r="C3" s="2" t="inlineStr">
        <is>
          <t>тот же город</t>
        </is>
      </c>
      <c r="D3" s="3" t="n">
        <v>4.5</v>
      </c>
      <c r="E3" s="4" t="n">
        <v>22000000</v>
      </c>
      <c r="F3" s="5" t="n">
        <v>93.5</v>
      </c>
      <c r="G3" s="4" t="n">
        <v>235294.1176470588</v>
      </c>
      <c r="H3" s="2" t="inlineStr">
        <is>
          <t>1/2</t>
        </is>
      </c>
      <c r="I3" s="2" t="inlineStr">
        <is>
          <t>Россия, Самара, улица Фрунзе, 59</t>
        </is>
      </c>
      <c r="J3" s="6" t="inlineStr">
        <is>
          <t>https://mls-city.ru/prcomm/248_5/2880_248_1/</t>
        </is>
      </c>
    </row>
    <row r="4">
      <c r="A4" s="2" t="inlineStr">
        <is>
          <t>Офис, 94,6 кв. м, —/10 эт.</t>
        </is>
      </c>
      <c r="B4" s="2" t="inlineStr">
        <is>
          <t>да</t>
        </is>
      </c>
      <c r="C4" s="2" t="inlineStr">
        <is>
          <t>тот же город</t>
        </is>
      </c>
      <c r="D4" s="3" t="n">
        <v>5.7</v>
      </c>
      <c r="E4" s="4" t="n">
        <v>6800000</v>
      </c>
      <c r="F4" s="5" t="n">
        <v>94.59999999999999</v>
      </c>
      <c r="G4" s="4" t="n">
        <v>71881.6067653277</v>
      </c>
      <c r="H4" s="2" t="inlineStr">
        <is>
          <t>—/10</t>
        </is>
      </c>
      <c r="I4" s="2" t="inlineStr">
        <is>
          <t>Россия, Самара, улица Советской Армии, 212Б</t>
        </is>
      </c>
      <c r="J4" s="6" t="inlineStr">
        <is>
          <t>https://realty.yandex.ru/offer/6035218987929247558</t>
        </is>
      </c>
    </row>
    <row r="5">
      <c r="A5" s="2" t="inlineStr">
        <is>
          <t>Офис, 95 кв. м, 1/10 эт.</t>
        </is>
      </c>
      <c r="B5" s="2" t="inlineStr">
        <is>
          <t>да</t>
        </is>
      </c>
      <c r="C5" s="2" t="inlineStr">
        <is>
          <t>тот же город</t>
        </is>
      </c>
      <c r="D5" s="3" t="n">
        <v>6.1</v>
      </c>
      <c r="E5" s="4" t="n">
        <v>10000000</v>
      </c>
      <c r="F5" s="5" t="n">
        <v>95</v>
      </c>
      <c r="G5" s="4" t="n">
        <v>105263.1578947368</v>
      </c>
      <c r="H5" s="2" t="inlineStr">
        <is>
          <t>1/10</t>
        </is>
      </c>
      <c r="I5" s="2" t="inlineStr">
        <is>
          <t>Россия, Самара, улица Водников, 45</t>
        </is>
      </c>
      <c r="J5" s="6" t="inlineStr">
        <is>
          <t>http://nlre.ru/buy/commercial/commercial_97419.html</t>
        </is>
      </c>
    </row>
    <row r="6">
      <c r="A6" s="2" t="inlineStr">
        <is>
          <t>Офис, 95,6 кв. м, —/23 эт.</t>
        </is>
      </c>
      <c r="B6" s="2" t="inlineStr">
        <is>
          <t>да</t>
        </is>
      </c>
      <c r="C6" s="2" t="inlineStr">
        <is>
          <t>тот же город</t>
        </is>
      </c>
      <c r="D6" s="3" t="n">
        <v>6.8</v>
      </c>
      <c r="E6" s="4" t="n">
        <v>9300000</v>
      </c>
      <c r="F6" s="5" t="n">
        <v>95.59999999999999</v>
      </c>
      <c r="G6" s="4" t="n">
        <v>97280.33472803349</v>
      </c>
      <c r="H6" s="2" t="inlineStr">
        <is>
          <t>—/23</t>
        </is>
      </c>
      <c r="I6" s="2" t="inlineStr">
        <is>
          <t>Россия, Самара, проспект Карла Маркса, 246</t>
        </is>
      </c>
      <c r="J6" s="6" t="inlineStr">
        <is>
          <t>https://mls-city.ru/prcomm/272_2/6320_272_1/</t>
        </is>
      </c>
    </row>
    <row r="7">
      <c r="A7" s="2" t="inlineStr">
        <is>
          <t>Офис, 83 кв. м, 4/4 эт.</t>
        </is>
      </c>
      <c r="B7" s="2" t="inlineStr">
        <is>
          <t>да</t>
        </is>
      </c>
      <c r="C7" s="2" t="inlineStr">
        <is>
          <t>тот же город</t>
        </is>
      </c>
      <c r="D7" s="3" t="n">
        <v>-7.3</v>
      </c>
      <c r="E7" s="4" t="n">
        <v>8300000</v>
      </c>
      <c r="F7" s="5" t="n">
        <v>83</v>
      </c>
      <c r="G7" s="4" t="n">
        <v>100000</v>
      </c>
      <c r="H7" s="2" t="inlineStr">
        <is>
          <t>4/4</t>
        </is>
      </c>
      <c r="I7" s="2" t="inlineStr">
        <is>
          <t>Россия, Самара, Ташкентская улица, 169</t>
        </is>
      </c>
      <c r="J7" s="6" t="inlineStr">
        <is>
          <t>https://mls-city.ru/prcomm/514_20/738_514_1/</t>
        </is>
      </c>
    </row>
    <row r="8">
      <c r="A8" s="2" t="inlineStr">
        <is>
          <t>Офис, 83 кв. м, —/5 эт.</t>
        </is>
      </c>
      <c r="B8" s="2" t="inlineStr">
        <is>
          <t>да</t>
        </is>
      </c>
      <c r="C8" s="2" t="inlineStr">
        <is>
          <t>тот же город</t>
        </is>
      </c>
      <c r="D8" s="3" t="n">
        <v>-7.3</v>
      </c>
      <c r="E8" s="4" t="n">
        <v>3100000</v>
      </c>
      <c r="F8" s="5" t="n">
        <v>83</v>
      </c>
      <c r="G8" s="4" t="n">
        <v>37349.39759036145</v>
      </c>
      <c r="H8" s="2" t="inlineStr">
        <is>
          <t>—/5</t>
        </is>
      </c>
      <c r="I8" s="2" t="inlineStr">
        <is>
          <t>Россия, Самара, улица Георгия Димитрова, 44</t>
        </is>
      </c>
      <c r="J8" s="6" t="inlineStr">
        <is>
          <t>https://arrpro.ru/objects/getbyid.php?external_id=603f62ee-c608-4e0d-be2c-c293e99a1765</t>
        </is>
      </c>
    </row>
    <row r="9">
      <c r="A9" s="2" t="inlineStr">
        <is>
          <t>Офис, 80,3 кв. м, 2/6 эт.</t>
        </is>
      </c>
      <c r="B9" s="2" t="inlineStr">
        <is>
          <t>да</t>
        </is>
      </c>
      <c r="C9" s="2" t="inlineStr">
        <is>
          <t>тот же город</t>
        </is>
      </c>
      <c r="D9" s="3" t="n">
        <v>-10.3</v>
      </c>
      <c r="E9" s="4" t="n">
        <v>9636000</v>
      </c>
      <c r="F9" s="5" t="n">
        <v>80.3</v>
      </c>
      <c r="G9" s="4" t="n">
        <v>120000</v>
      </c>
      <c r="H9" s="2" t="inlineStr">
        <is>
          <t>2/6</t>
        </is>
      </c>
      <c r="I9" s="2" t="inlineStr">
        <is>
          <t>Россия, Самара, Невская улица, 3</t>
        </is>
      </c>
      <c r="J9" s="6" t="inlineStr">
        <is>
          <t>https://arrpro.ru/objects/getbyid.php?external_id=3abca84e-cb74-49b0-9f7a-00de7c84381a</t>
        </is>
      </c>
    </row>
    <row r="10">
      <c r="A10" s="2" t="inlineStr">
        <is>
          <t>Офис, 80 кв. м, 1/1 эт.</t>
        </is>
      </c>
      <c r="B10" s="2" t="inlineStr">
        <is>
          <t>да</t>
        </is>
      </c>
      <c r="C10" s="2" t="inlineStr">
        <is>
          <t>тот же город</t>
        </is>
      </c>
      <c r="D10" s="3" t="n">
        <v>-10.6</v>
      </c>
      <c r="E10" s="4" t="n">
        <v>7900000</v>
      </c>
      <c r="F10" s="5" t="n">
        <v>80</v>
      </c>
      <c r="G10" s="4" t="n">
        <v>98750</v>
      </c>
      <c r="H10" s="2" t="inlineStr">
        <is>
          <t>1/1</t>
        </is>
      </c>
      <c r="I10" s="2" t="inlineStr">
        <is>
          <t>Россия, Самара, улица Фрунзе, 161</t>
        </is>
      </c>
      <c r="J10" s="6" t="inlineStr">
        <is>
          <t>https://mls-city.ru/prcomm/514_14/568_514_1/</t>
        </is>
      </c>
    </row>
    <row r="11">
      <c r="A11" s="2" t="inlineStr">
        <is>
          <t>Офис, 80 кв. м, 4/5 эт.</t>
        </is>
      </c>
      <c r="B11" s="2" t="inlineStr">
        <is>
          <t>да</t>
        </is>
      </c>
      <c r="C11" s="2" t="inlineStr">
        <is>
          <t>тот же город</t>
        </is>
      </c>
      <c r="D11" s="3" t="n">
        <v>-10.6</v>
      </c>
      <c r="E11" s="4" t="n">
        <v>5950000</v>
      </c>
      <c r="F11" s="5" t="n">
        <v>80</v>
      </c>
      <c r="G11" s="4" t="n">
        <v>74375</v>
      </c>
      <c r="H11" s="2" t="inlineStr">
        <is>
          <t>4/5</t>
        </is>
      </c>
      <c r="I11" s="2" t="inlineStr">
        <is>
          <t>Россия, Самара, Чернореченская улица, 21</t>
        </is>
      </c>
      <c r="J11" s="6" t="inlineStr">
        <is>
          <t>https://realty.yandex.ru/offer/260910279501071822</t>
        </is>
      </c>
    </row>
    <row r="12">
      <c r="A12" s="2" t="inlineStr">
        <is>
          <t>Офис, 80 кв. м, 1/1 эт.</t>
        </is>
      </c>
      <c r="B12" s="2" t="inlineStr">
        <is>
          <t>да</t>
        </is>
      </c>
      <c r="C12" s="2" t="inlineStr">
        <is>
          <t>тот же город</t>
        </is>
      </c>
      <c r="D12" s="3" t="n">
        <v>-10.6</v>
      </c>
      <c r="E12" s="4" t="n">
        <v>8500000</v>
      </c>
      <c r="F12" s="5" t="n">
        <v>80</v>
      </c>
      <c r="G12" s="4" t="n">
        <v>106250</v>
      </c>
      <c r="H12" s="2" t="inlineStr">
        <is>
          <t>1/1</t>
        </is>
      </c>
      <c r="I12" s="2" t="inlineStr">
        <is>
          <t>Россия, Самара, улица Фрунзе, 161</t>
        </is>
      </c>
      <c r="J12" s="6" t="inlineStr">
        <is>
          <t>https://arrpro.ru/objects/getbyid.php?external_id=9956c60f-0f62-41bb-90af-4cf20a0a434b</t>
        </is>
      </c>
    </row>
    <row r="13">
      <c r="A13" s="2" t="inlineStr">
        <is>
          <t>Офис, 80 кв. м, 1/1 эт.</t>
        </is>
      </c>
      <c r="B13" s="2" t="inlineStr">
        <is>
          <t>да</t>
        </is>
      </c>
      <c r="C13" s="2" t="inlineStr">
        <is>
          <t>тот же город</t>
        </is>
      </c>
      <c r="D13" s="3" t="n">
        <v>-10.6</v>
      </c>
      <c r="E13" s="4" t="n">
        <v>580000</v>
      </c>
      <c r="F13" s="5" t="n">
        <v>80</v>
      </c>
      <c r="G13" s="4" t="n">
        <v>7250</v>
      </c>
      <c r="H13" s="2" t="inlineStr">
        <is>
          <t>1/1</t>
        </is>
      </c>
      <c r="I13" s="2" t="inlineStr">
        <is>
          <t>Россия, Самара, проспект Кирова, 180</t>
        </is>
      </c>
      <c r="J13" s="6" t="inlineStr">
        <is>
          <t>https://arrpro.ru/objects/getbyid.php?external_id=5529ca8a-1de4-4fa9-968f-857c8ab9e561</t>
        </is>
      </c>
    </row>
    <row r="14">
      <c r="A14" s="2" t="inlineStr">
        <is>
          <t>Офис, 99,9 кв. м, 4/5 эт.</t>
        </is>
      </c>
      <c r="B14" s="2" t="inlineStr">
        <is>
          <t>да</t>
        </is>
      </c>
      <c r="C14" s="2" t="inlineStr">
        <is>
          <t>тот же город</t>
        </is>
      </c>
      <c r="D14" s="3" t="n">
        <v>11.6</v>
      </c>
      <c r="E14" s="4" t="n">
        <v>5350000</v>
      </c>
      <c r="F14" s="5" t="n">
        <v>99.90000000000001</v>
      </c>
      <c r="G14" s="4" t="n">
        <v>53553.55355355355</v>
      </c>
      <c r="H14" s="2" t="inlineStr">
        <is>
          <t>4/5</t>
        </is>
      </c>
      <c r="I14" s="2" t="inlineStr">
        <is>
          <t>Россия, Самара, Революционная улица, 70</t>
        </is>
      </c>
      <c r="J14" s="6" t="inlineStr">
        <is>
          <t>https://arrpro.ru/objects/getbyid.php?external_id=0f48efb8-5def-4053-b4fa-c18e85740765</t>
        </is>
      </c>
    </row>
    <row r="15">
      <c r="A15" s="2" t="inlineStr">
        <is>
          <t>Офис, 79,1 кв. м, 2/2 эт.</t>
        </is>
      </c>
      <c r="B15" s="2" t="inlineStr">
        <is>
          <t>да</t>
        </is>
      </c>
      <c r="C15" s="2" t="inlineStr">
        <is>
          <t>тот же город</t>
        </is>
      </c>
      <c r="D15" s="3" t="n">
        <v>-11.6</v>
      </c>
      <c r="E15" s="4" t="n">
        <v>8000000</v>
      </c>
      <c r="F15" s="5" t="n">
        <v>79.09999999999999</v>
      </c>
      <c r="G15" s="4" t="n">
        <v>101137.8002528445</v>
      </c>
      <c r="H15" s="2" t="inlineStr">
        <is>
          <t>2/2</t>
        </is>
      </c>
      <c r="I15" s="2" t="inlineStr">
        <is>
          <t>Россия, Самара, Костромской переулок, 10</t>
        </is>
      </c>
      <c r="J15" s="6" t="inlineStr">
        <is>
          <t>https://arrpro.ru/objects/getbyid.php?external_id=671c6695-067c-424a-a016-5e658942be40</t>
        </is>
      </c>
    </row>
    <row r="16">
      <c r="A16" s="2" t="inlineStr">
        <is>
          <t>Офис, 100 кв. м, 1/11 эт.</t>
        </is>
      </c>
      <c r="B16" s="2" t="inlineStr">
        <is>
          <t>да</t>
        </is>
      </c>
      <c r="C16" s="2" t="inlineStr">
        <is>
          <t>тот же город</t>
        </is>
      </c>
      <c r="D16" s="3" t="n">
        <v>11.7</v>
      </c>
      <c r="E16" s="4" t="n">
        <v>13500000</v>
      </c>
      <c r="F16" s="5" t="n">
        <v>100</v>
      </c>
      <c r="G16" s="4" t="n">
        <v>135000</v>
      </c>
      <c r="H16" s="2" t="inlineStr">
        <is>
          <t>1/11</t>
        </is>
      </c>
      <c r="I16" s="2" t="inlineStr">
        <is>
          <t>Россия, Самара, Ново-Садовая улица, 14А</t>
        </is>
      </c>
      <c r="J16" s="6" t="inlineStr">
        <is>
          <t>https://mls-city.ru/prcomm/514_4/655_514_1/</t>
        </is>
      </c>
    </row>
    <row r="17">
      <c r="A17" s="2" t="inlineStr">
        <is>
          <t>Офис, 79 кв. м, 2/26 эт.</t>
        </is>
      </c>
      <c r="B17" s="2" t="inlineStr">
        <is>
          <t>да</t>
        </is>
      </c>
      <c r="C17" s="2" t="inlineStr">
        <is>
          <t>тот же город</t>
        </is>
      </c>
      <c r="D17" s="3" t="n">
        <v>-11.7</v>
      </c>
      <c r="E17" s="4" t="n">
        <v>17380000</v>
      </c>
      <c r="F17" s="5" t="n">
        <v>79</v>
      </c>
      <c r="G17" s="4" t="n">
        <v>220000</v>
      </c>
      <c r="H17" s="2" t="inlineStr">
        <is>
          <t>2/26</t>
        </is>
      </c>
      <c r="I17" s="2" t="inlineStr">
        <is>
          <t>Россия, Самара, улица Дыбенко, 5</t>
        </is>
      </c>
      <c r="J17" s="6" t="inlineStr">
        <is>
          <t>https://mls-city.ru/prcomm/273_147/17335_273_1/</t>
        </is>
      </c>
    </row>
    <row r="18">
      <c r="A18" s="2" t="inlineStr">
        <is>
          <t>Офис, 101,9 кв. м, 4/7 эт.</t>
        </is>
      </c>
      <c r="B18" s="2" t="inlineStr">
        <is>
          <t>да</t>
        </is>
      </c>
      <c r="C18" s="2" t="inlineStr">
        <is>
          <t>тот же город</t>
        </is>
      </c>
      <c r="D18" s="3" t="n">
        <v>13.9</v>
      </c>
      <c r="E18" s="4" t="n">
        <v>13500000</v>
      </c>
      <c r="F18" s="5" t="n">
        <v>101.9</v>
      </c>
      <c r="G18" s="4" t="n">
        <v>132482.8263002944</v>
      </c>
      <c r="H18" s="2" t="inlineStr">
        <is>
          <t>4/7</t>
        </is>
      </c>
      <c r="I18" s="2" t="inlineStr">
        <is>
          <t>Россия, Самара, Галактионовская улица, 132</t>
        </is>
      </c>
      <c r="J18" s="6" t="inlineStr">
        <is>
          <t>https://ms-an.ru</t>
        </is>
      </c>
    </row>
    <row r="19">
      <c r="A19" s="2" t="inlineStr">
        <is>
          <t>Офис, 105 кв. м, 1/2 эт.</t>
        </is>
      </c>
      <c r="B19" s="2" t="inlineStr">
        <is>
          <t>да</t>
        </is>
      </c>
      <c r="C19" s="2" t="inlineStr">
        <is>
          <t>тот же город</t>
        </is>
      </c>
      <c r="D19" s="3" t="n">
        <v>17.3</v>
      </c>
      <c r="E19" s="4" t="n">
        <v>6000000</v>
      </c>
      <c r="F19" s="5" t="n">
        <v>105</v>
      </c>
      <c r="G19" s="4" t="n">
        <v>57142.85714285714</v>
      </c>
      <c r="H19" s="2" t="inlineStr">
        <is>
          <t>1/2</t>
        </is>
      </c>
      <c r="I19" s="2" t="inlineStr">
        <is>
          <t>Россия, Самара, Костромской переулок, 10</t>
        </is>
      </c>
      <c r="J19" s="6" t="inlineStr">
        <is>
          <t>https://arrpro.ru/objects/getbyid.php?external_id=833b9053-8507-4c3e-9d96-38c8193b6c89</t>
        </is>
      </c>
    </row>
    <row r="20">
      <c r="A20" s="2" t="inlineStr">
        <is>
          <t>Офис, 107,7 кв. м, 1/16 эт.</t>
        </is>
      </c>
      <c r="B20" s="2" t="inlineStr">
        <is>
          <t>да</t>
        </is>
      </c>
      <c r="C20" s="2" t="inlineStr">
        <is>
          <t>тот же город</t>
        </is>
      </c>
      <c r="D20" s="3" t="n">
        <v>20.3</v>
      </c>
      <c r="E20" s="4" t="n">
        <v>12500000</v>
      </c>
      <c r="F20" s="5" t="n">
        <v>107.7</v>
      </c>
      <c r="G20" s="4" t="n">
        <v>116063.1383472609</v>
      </c>
      <c r="H20" s="2" t="inlineStr">
        <is>
          <t>1/16</t>
        </is>
      </c>
      <c r="I20" s="2" t="inlineStr">
        <is>
          <t>Россия, Самара, улица Мичурина, 147</t>
        </is>
      </c>
      <c r="J20" s="6" t="inlineStr">
        <is>
          <t>https://mls-city.ru/prcomm/514_3/329_514_1/</t>
        </is>
      </c>
    </row>
    <row r="21">
      <c r="A21" s="2" t="inlineStr">
        <is>
          <t>Офис, 70 кв. м, 1/2 эт.</t>
        </is>
      </c>
      <c r="B21" s="2" t="inlineStr">
        <is>
          <t>да</t>
        </is>
      </c>
      <c r="C21" s="2" t="inlineStr">
        <is>
          <t>тот же город</t>
        </is>
      </c>
      <c r="D21" s="3" t="n">
        <v>-21.8</v>
      </c>
      <c r="E21" s="4" t="n">
        <v>3400000</v>
      </c>
      <c r="F21" s="5" t="n">
        <v>70</v>
      </c>
      <c r="G21" s="4" t="n">
        <v>48571.42857142857</v>
      </c>
      <c r="H21" s="2" t="inlineStr">
        <is>
          <t>1/2</t>
        </is>
      </c>
      <c r="I21" s="2" t="inlineStr">
        <is>
          <t>Россия, Самара, Московское шоссе, 81Б</t>
        </is>
      </c>
      <c r="J21" s="6" t="inlineStr">
        <is>
          <t>https://arrpro.ru/objects/getbyid.php?external_id=23c3f688-ecc8-4191-afc5-aca59e817e73</t>
        </is>
      </c>
    </row>
    <row r="22">
      <c r="A22" s="2" t="inlineStr">
        <is>
          <t>Офис, 66 кв. м, 4/4 эт.</t>
        </is>
      </c>
      <c r="B22" s="2" t="inlineStr">
        <is>
          <t>да</t>
        </is>
      </c>
      <c r="C22" s="2" t="inlineStr">
        <is>
          <t>тот же город</t>
        </is>
      </c>
      <c r="D22" s="3" t="n">
        <v>-26.3</v>
      </c>
      <c r="E22" s="4" t="n">
        <v>4350000</v>
      </c>
      <c r="F22" s="5" t="n">
        <v>66</v>
      </c>
      <c r="G22" s="4" t="n">
        <v>65909.09090909091</v>
      </c>
      <c r="H22" s="2" t="inlineStr">
        <is>
          <t>4/4</t>
        </is>
      </c>
      <c r="I22" s="2" t="inlineStr">
        <is>
          <t>Россия, Самара, Революционная улица, 70лит1</t>
        </is>
      </c>
      <c r="J22" s="6" t="inlineStr">
        <is>
          <t>https://realty.yandex.ru/offer/6350934387590104479</t>
        </is>
      </c>
    </row>
    <row r="23">
      <c r="A23" s="2" t="inlineStr">
        <is>
          <t>Офис, 66 кв. м, 7/10 эт.</t>
        </is>
      </c>
      <c r="B23" s="2" t="inlineStr">
        <is>
          <t>да</t>
        </is>
      </c>
      <c r="C23" s="2" t="inlineStr">
        <is>
          <t>тот же город</t>
        </is>
      </c>
      <c r="D23" s="3" t="n">
        <v>-26.3</v>
      </c>
      <c r="E23" s="4" t="n">
        <v>7854000</v>
      </c>
      <c r="F23" s="5" t="n">
        <v>66</v>
      </c>
      <c r="G23" s="4" t="n">
        <v>119000</v>
      </c>
      <c r="H23" s="2" t="inlineStr">
        <is>
          <t>7/10</t>
        </is>
      </c>
      <c r="I23" s="2" t="inlineStr">
        <is>
          <t>Россия, Самара, проспект Карла Маркса, 192</t>
        </is>
      </c>
      <c r="J23" s="6" t="inlineStr">
        <is>
          <t>https://mls-city.ru/prcomm/273_4/19024_273_1/</t>
        </is>
      </c>
    </row>
    <row r="24">
      <c r="A24" s="2" t="inlineStr">
        <is>
          <t>Офис, 65,6 кв. м, 1/12 эт.</t>
        </is>
      </c>
      <c r="B24" s="2" t="inlineStr">
        <is>
          <t>да</t>
        </is>
      </c>
      <c r="C24" s="2" t="inlineStr">
        <is>
          <t>тот же город</t>
        </is>
      </c>
      <c r="D24" s="3" t="n">
        <v>-26.7</v>
      </c>
      <c r="E24" s="4" t="n">
        <v>7200000</v>
      </c>
      <c r="F24" s="5" t="n">
        <v>65.59999999999999</v>
      </c>
      <c r="G24" s="4" t="n">
        <v>109756.0975609756</v>
      </c>
      <c r="H24" s="2" t="inlineStr">
        <is>
          <t>1/12</t>
        </is>
      </c>
      <c r="I24" s="2" t="inlineStr">
        <is>
          <t>Россия, Самара, Красноармейская улица, 72</t>
        </is>
      </c>
      <c r="J24" s="6" t="inlineStr">
        <is>
          <t>https://realty.yandex.ru/offer/63028027043455078</t>
        </is>
      </c>
    </row>
    <row r="25">
      <c r="A25" s="2" t="inlineStr">
        <is>
          <t>Офис, 114 кв. м, 1/9 эт.</t>
        </is>
      </c>
      <c r="B25" s="2" t="inlineStr">
        <is>
          <t>да</t>
        </is>
      </c>
      <c r="C25" s="2" t="inlineStr">
        <is>
          <t>тот же город</t>
        </is>
      </c>
      <c r="D25" s="3" t="n">
        <v>27.4</v>
      </c>
      <c r="E25" s="4" t="n">
        <v>15000000</v>
      </c>
      <c r="F25" s="5" t="n">
        <v>114</v>
      </c>
      <c r="G25" s="4" t="n">
        <v>131578.947368421</v>
      </c>
      <c r="H25" s="2" t="inlineStr">
        <is>
          <t>1/9</t>
        </is>
      </c>
      <c r="I25" s="2" t="inlineStr">
        <is>
          <t>Россия, Самара, улица Алексея Толстого, 122</t>
        </is>
      </c>
      <c r="J25" s="6" t="inlineStr">
        <is>
          <t>https://mls-city.ru/prcomm/203_745/2959_203_1/</t>
        </is>
      </c>
    </row>
    <row r="26">
      <c r="A26" s="2" t="inlineStr">
        <is>
          <t>Офис, 115 кв. м, 1/12 эт.</t>
        </is>
      </c>
      <c r="B26" s="2" t="inlineStr">
        <is>
          <t>да</t>
        </is>
      </c>
      <c r="C26" s="2" t="inlineStr">
        <is>
          <t>тот же город</t>
        </is>
      </c>
      <c r="D26" s="3" t="n">
        <v>28.5</v>
      </c>
      <c r="E26" s="4" t="n">
        <v>9400000</v>
      </c>
      <c r="F26" s="5" t="n">
        <v>115</v>
      </c>
      <c r="G26" s="4" t="n">
        <v>81739.13043478261</v>
      </c>
      <c r="H26" s="2" t="inlineStr">
        <is>
          <t>1/12</t>
        </is>
      </c>
      <c r="I26" s="2" t="inlineStr">
        <is>
          <t>Россия, Самара, Нагорная улица, 133</t>
        </is>
      </c>
      <c r="J26" s="6" t="inlineStr">
        <is>
          <t>https://mls-city.ru/prcomm/514_14/62_514_1/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16" customWidth="1" min="4" max="4"/>
    <col width="22" customWidth="1" min="5" max="5"/>
    <col width="16" customWidth="1" min="6" max="6"/>
    <col width="24" customWidth="1" min="7" max="7"/>
    <col width="12" customWidth="1" min="8" max="8"/>
  </cols>
  <sheetData>
    <row r="1">
      <c r="A1" s="7" t="inlineStr">
        <is>
          <t>Расчёт стоимости объекта сравнительным подходом</t>
        </is>
      </c>
    </row>
    <row r="3">
      <c r="A3" s="8" t="inlineStr">
        <is>
          <t>Кадастровый номер</t>
        </is>
      </c>
      <c r="B3" t="inlineStr">
        <is>
          <t>63:01:0643004:328</t>
        </is>
      </c>
    </row>
    <row r="4">
      <c r="A4" s="8" t="inlineStr">
        <is>
          <t>Адрес</t>
        </is>
      </c>
      <c r="B4" t="inlineStr">
        <is>
          <t>Самарская область, г. Самара, Октябрьский район, ул. Санфировой, д. 95, н70</t>
        </is>
      </c>
    </row>
    <row r="5">
      <c r="A5" s="8" t="inlineStr">
        <is>
          <t>Площадь объекта, кв. м</t>
        </is>
      </c>
      <c r="B5" s="9" t="n">
        <v>89.5</v>
      </c>
    </row>
    <row r="6">
      <c r="A6" s="8" t="inlineStr">
        <is>
          <t>Кадастровая стоимость</t>
        </is>
      </c>
      <c r="B6" s="10" t="n">
        <v>5214594.89</v>
      </c>
    </row>
    <row r="8">
      <c r="A8" s="1" t="inlineStr">
        <is>
          <t>№</t>
        </is>
      </c>
      <c r="B8" s="1" t="inlineStr">
        <is>
          <t>Адрес аналога</t>
        </is>
      </c>
      <c r="C8" s="1" t="inlineStr">
        <is>
          <t>Цена, руб.</t>
        </is>
      </c>
      <c r="D8" s="1" t="inlineStr">
        <is>
          <t>Площадь, кв. м</t>
        </is>
      </c>
      <c r="E8" s="1" t="inlineStr">
        <is>
          <t>Цена за кв. м, руб.</t>
        </is>
      </c>
      <c r="F8" s="1" t="inlineStr">
        <is>
          <t>Корректировка, %</t>
        </is>
      </c>
      <c r="G8" s="1" t="inlineStr">
        <is>
          <t>Скорректированная цена за кв. м, руб.</t>
        </is>
      </c>
      <c r="H8" s="1" t="inlineStr">
        <is>
          <t>Вес аналога</t>
        </is>
      </c>
    </row>
    <row r="9">
      <c r="A9" s="2" t="n">
        <v>1</v>
      </c>
      <c r="B9" s="2" t="inlineStr">
        <is>
          <t>Россия, Самара, улица Мориса Тореза, 103</t>
        </is>
      </c>
      <c r="C9" s="4" t="n">
        <v>8400000</v>
      </c>
      <c r="D9" s="5" t="n">
        <v>87.2</v>
      </c>
      <c r="E9" s="4">
        <f>C9/D9</f>
        <v/>
      </c>
      <c r="F9" s="3" t="n">
        <v>0</v>
      </c>
      <c r="G9" s="4">
        <f>E9*(1+F9/100)</f>
        <v/>
      </c>
      <c r="H9" s="11" t="n">
        <v>1</v>
      </c>
    </row>
    <row r="10">
      <c r="A10" s="2" t="n">
        <v>2</v>
      </c>
      <c r="B10" s="2" t="inlineStr">
        <is>
          <t>Россия, Самара, улица Фрунзе, 59</t>
        </is>
      </c>
      <c r="C10" s="4" t="n">
        <v>22000000</v>
      </c>
      <c r="D10" s="5" t="n">
        <v>93.5</v>
      </c>
      <c r="E10" s="4">
        <f>C10/D10</f>
        <v/>
      </c>
      <c r="F10" s="3" t="n">
        <v>0</v>
      </c>
      <c r="G10" s="4">
        <f>E10*(1+F10/100)</f>
        <v/>
      </c>
      <c r="H10" s="11" t="n">
        <v>1</v>
      </c>
    </row>
    <row r="11">
      <c r="A11" s="2" t="n">
        <v>3</v>
      </c>
      <c r="B11" s="2" t="inlineStr">
        <is>
          <t>Россия, Самара, улица Советской Армии, 212Б</t>
        </is>
      </c>
      <c r="C11" s="4" t="n">
        <v>6800000</v>
      </c>
      <c r="D11" s="5" t="n">
        <v>94.59999999999999</v>
      </c>
      <c r="E11" s="4">
        <f>C11/D11</f>
        <v/>
      </c>
      <c r="F11" s="3" t="n">
        <v>0</v>
      </c>
      <c r="G11" s="4">
        <f>E11*(1+F11/100)</f>
        <v/>
      </c>
      <c r="H11" s="11" t="n">
        <v>1</v>
      </c>
    </row>
    <row r="12">
      <c r="A12" s="2" t="n">
        <v>4</v>
      </c>
      <c r="B12" s="2" t="inlineStr">
        <is>
          <t>Россия, Самара, улица Водников, 45</t>
        </is>
      </c>
      <c r="C12" s="4" t="n">
        <v>10000000</v>
      </c>
      <c r="D12" s="5" t="n">
        <v>95</v>
      </c>
      <c r="E12" s="4">
        <f>C12/D12</f>
        <v/>
      </c>
      <c r="F12" s="3" t="n">
        <v>0</v>
      </c>
      <c r="G12" s="4">
        <f>E12*(1+F12/100)</f>
        <v/>
      </c>
      <c r="H12" s="11" t="n">
        <v>1</v>
      </c>
    </row>
    <row r="13">
      <c r="A13" s="2" t="n">
        <v>5</v>
      </c>
      <c r="B13" s="2" t="inlineStr">
        <is>
          <t>Россия, Самара, проспект Карла Маркса, 246</t>
        </is>
      </c>
      <c r="C13" s="4" t="n">
        <v>9300000</v>
      </c>
      <c r="D13" s="5" t="n">
        <v>95.59999999999999</v>
      </c>
      <c r="E13" s="4">
        <f>C13/D13</f>
        <v/>
      </c>
      <c r="F13" s="3" t="n">
        <v>0</v>
      </c>
      <c r="G13" s="4">
        <f>E13*(1+F13/100)</f>
        <v/>
      </c>
      <c r="H13" s="11" t="n">
        <v>1</v>
      </c>
    </row>
    <row r="14">
      <c r="A14" s="2" t="n">
        <v>6</v>
      </c>
      <c r="B14" s="2" t="inlineStr">
        <is>
          <t>Россия, Самара, Ташкентская улица, 169</t>
        </is>
      </c>
      <c r="C14" s="4" t="n">
        <v>8300000</v>
      </c>
      <c r="D14" s="5" t="n">
        <v>83</v>
      </c>
      <c r="E14" s="4">
        <f>C14/D14</f>
        <v/>
      </c>
      <c r="F14" s="3" t="n">
        <v>0</v>
      </c>
      <c r="G14" s="4">
        <f>E14*(1+F14/100)</f>
        <v/>
      </c>
      <c r="H14" s="11" t="n">
        <v>1</v>
      </c>
    </row>
    <row r="15">
      <c r="A15" s="2" t="n">
        <v>7</v>
      </c>
      <c r="B15" s="2" t="inlineStr">
        <is>
          <t>Россия, Самара, улица Георгия Димитрова, 44</t>
        </is>
      </c>
      <c r="C15" s="4" t="n">
        <v>3100000</v>
      </c>
      <c r="D15" s="5" t="n">
        <v>83</v>
      </c>
      <c r="E15" s="4">
        <f>C15/D15</f>
        <v/>
      </c>
      <c r="F15" s="3" t="n">
        <v>0</v>
      </c>
      <c r="G15" s="4">
        <f>E15*(1+F15/100)</f>
        <v/>
      </c>
      <c r="H15" s="11" t="n">
        <v>1</v>
      </c>
    </row>
    <row r="16">
      <c r="A16" s="2" t="n">
        <v>8</v>
      </c>
      <c r="B16" s="2" t="inlineStr">
        <is>
          <t>Россия, Самара, Невская улица, 3</t>
        </is>
      </c>
      <c r="C16" s="4" t="n">
        <v>9636000</v>
      </c>
      <c r="D16" s="5" t="n">
        <v>80.3</v>
      </c>
      <c r="E16" s="4">
        <f>C16/D16</f>
        <v/>
      </c>
      <c r="F16" s="3" t="n">
        <v>0</v>
      </c>
      <c r="G16" s="4">
        <f>E16*(1+F16/100)</f>
        <v/>
      </c>
      <c r="H16" s="11" t="n">
        <v>1</v>
      </c>
    </row>
    <row r="17">
      <c r="A17" s="2" t="n">
        <v>9</v>
      </c>
      <c r="B17" s="2" t="inlineStr">
        <is>
          <t>Россия, Самара, улица Фрунзе, 161</t>
        </is>
      </c>
      <c r="C17" s="4" t="n">
        <v>7900000</v>
      </c>
      <c r="D17" s="5" t="n">
        <v>80</v>
      </c>
      <c r="E17" s="4">
        <f>C17/D17</f>
        <v/>
      </c>
      <c r="F17" s="3" t="n">
        <v>0</v>
      </c>
      <c r="G17" s="4">
        <f>E17*(1+F17/100)</f>
        <v/>
      </c>
      <c r="H17" s="11" t="n">
        <v>1</v>
      </c>
    </row>
    <row r="18">
      <c r="A18" s="2" t="n">
        <v>10</v>
      </c>
      <c r="B18" s="2" t="inlineStr">
        <is>
          <t>Россия, Самара, Чернореченская улица, 21</t>
        </is>
      </c>
      <c r="C18" s="4" t="n">
        <v>5950000</v>
      </c>
      <c r="D18" s="5" t="n">
        <v>80</v>
      </c>
      <c r="E18" s="4">
        <f>C18/D18</f>
        <v/>
      </c>
      <c r="F18" s="3" t="n">
        <v>0</v>
      </c>
      <c r="G18" s="4">
        <f>E18*(1+F18/100)</f>
        <v/>
      </c>
      <c r="H18" s="11" t="n">
        <v>1</v>
      </c>
    </row>
    <row r="19">
      <c r="A19" s="2" t="n">
        <v>11</v>
      </c>
      <c r="B19" s="2" t="inlineStr">
        <is>
          <t>Россия, Самара, улица Фрунзе, 161</t>
        </is>
      </c>
      <c r="C19" s="4" t="n">
        <v>8500000</v>
      </c>
      <c r="D19" s="5" t="n">
        <v>80</v>
      </c>
      <c r="E19" s="4">
        <f>C19/D19</f>
        <v/>
      </c>
      <c r="F19" s="3" t="n">
        <v>0</v>
      </c>
      <c r="G19" s="4">
        <f>E19*(1+F19/100)</f>
        <v/>
      </c>
      <c r="H19" s="11" t="n">
        <v>1</v>
      </c>
    </row>
    <row r="20">
      <c r="A20" s="2" t="n">
        <v>12</v>
      </c>
      <c r="B20" s="2" t="inlineStr">
        <is>
          <t>Россия, Самара, проспект Кирова, 180</t>
        </is>
      </c>
      <c r="C20" s="4" t="n">
        <v>580000</v>
      </c>
      <c r="D20" s="5" t="n">
        <v>80</v>
      </c>
      <c r="E20" s="4">
        <f>C20/D20</f>
        <v/>
      </c>
      <c r="F20" s="3" t="n">
        <v>0</v>
      </c>
      <c r="G20" s="4">
        <f>E20*(1+F20/100)</f>
        <v/>
      </c>
      <c r="H20" s="11" t="n">
        <v>1</v>
      </c>
    </row>
    <row r="21">
      <c r="A21" s="2" t="n">
        <v>13</v>
      </c>
      <c r="B21" s="2" t="inlineStr">
        <is>
          <t>Россия, Самара, Революционная улица, 70</t>
        </is>
      </c>
      <c r="C21" s="4" t="n">
        <v>5350000</v>
      </c>
      <c r="D21" s="5" t="n">
        <v>99.90000000000001</v>
      </c>
      <c r="E21" s="4">
        <f>C21/D21</f>
        <v/>
      </c>
      <c r="F21" s="3" t="n">
        <v>0</v>
      </c>
      <c r="G21" s="4">
        <f>E21*(1+F21/100)</f>
        <v/>
      </c>
      <c r="H21" s="11" t="n">
        <v>1</v>
      </c>
    </row>
    <row r="22">
      <c r="A22" s="2" t="n">
        <v>14</v>
      </c>
      <c r="B22" s="2" t="inlineStr">
        <is>
          <t>Россия, Самара, Костромской переулок, 10</t>
        </is>
      </c>
      <c r="C22" s="4" t="n">
        <v>8000000</v>
      </c>
      <c r="D22" s="5" t="n">
        <v>79.09999999999999</v>
      </c>
      <c r="E22" s="4">
        <f>C22/D22</f>
        <v/>
      </c>
      <c r="F22" s="3" t="n">
        <v>0</v>
      </c>
      <c r="G22" s="4">
        <f>E22*(1+F22/100)</f>
        <v/>
      </c>
      <c r="H22" s="11" t="n">
        <v>1</v>
      </c>
    </row>
    <row r="23">
      <c r="A23" s="2" t="n">
        <v>15</v>
      </c>
      <c r="B23" s="2" t="inlineStr">
        <is>
          <t>Россия, Самара, Ново-Садовая улица, 14А</t>
        </is>
      </c>
      <c r="C23" s="4" t="n">
        <v>13500000</v>
      </c>
      <c r="D23" s="5" t="n">
        <v>100</v>
      </c>
      <c r="E23" s="4">
        <f>C23/D23</f>
        <v/>
      </c>
      <c r="F23" s="3" t="n">
        <v>0</v>
      </c>
      <c r="G23" s="4">
        <f>E23*(1+F23/100)</f>
        <v/>
      </c>
      <c r="H23" s="11" t="n">
        <v>1</v>
      </c>
    </row>
    <row r="24">
      <c r="A24" s="2" t="n">
        <v>16</v>
      </c>
      <c r="B24" s="2" t="inlineStr">
        <is>
          <t>Россия, Самара, улица Дыбенко, 5</t>
        </is>
      </c>
      <c r="C24" s="4" t="n">
        <v>17380000</v>
      </c>
      <c r="D24" s="5" t="n">
        <v>79</v>
      </c>
      <c r="E24" s="4">
        <f>C24/D24</f>
        <v/>
      </c>
      <c r="F24" s="3" t="n">
        <v>0</v>
      </c>
      <c r="G24" s="4">
        <f>E24*(1+F24/100)</f>
        <v/>
      </c>
      <c r="H24" s="11" t="n">
        <v>1</v>
      </c>
    </row>
    <row r="25">
      <c r="A25" s="2" t="n">
        <v>17</v>
      </c>
      <c r="B25" s="2" t="inlineStr">
        <is>
          <t>Россия, Самара, Галактионовская улица, 132</t>
        </is>
      </c>
      <c r="C25" s="4" t="n">
        <v>13500000</v>
      </c>
      <c r="D25" s="5" t="n">
        <v>101.9</v>
      </c>
      <c r="E25" s="4">
        <f>C25/D25</f>
        <v/>
      </c>
      <c r="F25" s="3" t="n">
        <v>0</v>
      </c>
      <c r="G25" s="4">
        <f>E25*(1+F25/100)</f>
        <v/>
      </c>
      <c r="H25" s="11" t="n">
        <v>1</v>
      </c>
    </row>
    <row r="26">
      <c r="A26" s="2" t="n">
        <v>18</v>
      </c>
      <c r="B26" s="2" t="inlineStr">
        <is>
          <t>Россия, Самара, Костромской переулок, 10</t>
        </is>
      </c>
      <c r="C26" s="4" t="n">
        <v>6000000</v>
      </c>
      <c r="D26" s="5" t="n">
        <v>105</v>
      </c>
      <c r="E26" s="4">
        <f>C26/D26</f>
        <v/>
      </c>
      <c r="F26" s="3" t="n">
        <v>0</v>
      </c>
      <c r="G26" s="4">
        <f>E26*(1+F26/100)</f>
        <v/>
      </c>
      <c r="H26" s="11" t="n">
        <v>1</v>
      </c>
    </row>
    <row r="27">
      <c r="A27" s="2" t="n">
        <v>19</v>
      </c>
      <c r="B27" s="2" t="inlineStr">
        <is>
          <t>Россия, Самара, улица Мичурина, 147</t>
        </is>
      </c>
      <c r="C27" s="4" t="n">
        <v>12500000</v>
      </c>
      <c r="D27" s="5" t="n">
        <v>107.7</v>
      </c>
      <c r="E27" s="4">
        <f>C27/D27</f>
        <v/>
      </c>
      <c r="F27" s="3" t="n">
        <v>0</v>
      </c>
      <c r="G27" s="4">
        <f>E27*(1+F27/100)</f>
        <v/>
      </c>
      <c r="H27" s="11" t="n">
        <v>1</v>
      </c>
    </row>
    <row r="28">
      <c r="A28" s="2" t="n">
        <v>20</v>
      </c>
      <c r="B28" s="2" t="inlineStr">
        <is>
          <t>Россия, Самара, Московское шоссе, 81Б</t>
        </is>
      </c>
      <c r="C28" s="4" t="n">
        <v>3400000</v>
      </c>
      <c r="D28" s="5" t="n">
        <v>70</v>
      </c>
      <c r="E28" s="4">
        <f>C28/D28</f>
        <v/>
      </c>
      <c r="F28" s="3" t="n">
        <v>0</v>
      </c>
      <c r="G28" s="4">
        <f>E28*(1+F28/100)</f>
        <v/>
      </c>
      <c r="H28" s="11" t="n">
        <v>1</v>
      </c>
    </row>
    <row r="29">
      <c r="A29" s="2" t="n">
        <v>21</v>
      </c>
      <c r="B29" s="2" t="inlineStr">
        <is>
          <t>Россия, Самара, Революционная улица, 70лит1</t>
        </is>
      </c>
      <c r="C29" s="4" t="n">
        <v>4350000</v>
      </c>
      <c r="D29" s="5" t="n">
        <v>66</v>
      </c>
      <c r="E29" s="4">
        <f>C29/D29</f>
        <v/>
      </c>
      <c r="F29" s="3" t="n">
        <v>0</v>
      </c>
      <c r="G29" s="4">
        <f>E29*(1+F29/100)</f>
        <v/>
      </c>
      <c r="H29" s="11" t="n">
        <v>1</v>
      </c>
    </row>
    <row r="30">
      <c r="A30" s="2" t="n">
        <v>22</v>
      </c>
      <c r="B30" s="2" t="inlineStr">
        <is>
          <t>Россия, Самара, проспект Карла Маркса, 192</t>
        </is>
      </c>
      <c r="C30" s="4" t="n">
        <v>7854000</v>
      </c>
      <c r="D30" s="5" t="n">
        <v>66</v>
      </c>
      <c r="E30" s="4">
        <f>C30/D30</f>
        <v/>
      </c>
      <c r="F30" s="3" t="n">
        <v>0</v>
      </c>
      <c r="G30" s="4">
        <f>E30*(1+F30/100)</f>
        <v/>
      </c>
      <c r="H30" s="11" t="n">
        <v>1</v>
      </c>
    </row>
    <row r="31">
      <c r="A31" s="2" t="n">
        <v>23</v>
      </c>
      <c r="B31" s="2" t="inlineStr">
        <is>
          <t>Россия, Самара, Красноармейская улица, 72</t>
        </is>
      </c>
      <c r="C31" s="4" t="n">
        <v>7200000</v>
      </c>
      <c r="D31" s="5" t="n">
        <v>65.59999999999999</v>
      </c>
      <c r="E31" s="4">
        <f>C31/D31</f>
        <v/>
      </c>
      <c r="F31" s="3" t="n">
        <v>0</v>
      </c>
      <c r="G31" s="4">
        <f>E31*(1+F31/100)</f>
        <v/>
      </c>
      <c r="H31" s="11" t="n">
        <v>1</v>
      </c>
    </row>
    <row r="32">
      <c r="A32" s="2" t="n">
        <v>24</v>
      </c>
      <c r="B32" s="2" t="inlineStr">
        <is>
          <t>Россия, Самара, улица Алексея Толстого, 122</t>
        </is>
      </c>
      <c r="C32" s="4" t="n">
        <v>15000000</v>
      </c>
      <c r="D32" s="5" t="n">
        <v>114</v>
      </c>
      <c r="E32" s="4">
        <f>C32/D32</f>
        <v/>
      </c>
      <c r="F32" s="3" t="n">
        <v>0</v>
      </c>
      <c r="G32" s="4">
        <f>E32*(1+F32/100)</f>
        <v/>
      </c>
      <c r="H32" s="11" t="n">
        <v>1</v>
      </c>
    </row>
    <row r="33">
      <c r="A33" s="2" t="n">
        <v>25</v>
      </c>
      <c r="B33" s="2" t="inlineStr">
        <is>
          <t>Россия, Самара, Нагорная улица, 133</t>
        </is>
      </c>
      <c r="C33" s="4" t="n">
        <v>9400000</v>
      </c>
      <c r="D33" s="5" t="n">
        <v>115</v>
      </c>
      <c r="E33" s="4">
        <f>C33/D33</f>
        <v/>
      </c>
      <c r="F33" s="3" t="n">
        <v>0</v>
      </c>
      <c r="G33" s="4">
        <f>E33*(1+F33/100)</f>
        <v/>
      </c>
      <c r="H33" s="11" t="n">
        <v>1</v>
      </c>
    </row>
    <row r="35">
      <c r="A35" s="12" t="inlineStr">
        <is>
          <t>Средневзвешенная цена за кв. м</t>
        </is>
      </c>
      <c r="G35" s="13">
        <f>IFERROR(SUMPRODUCT(G9:G33,H9:H33)/SUM(H9:H33),"")</f>
        <v/>
      </c>
    </row>
    <row r="36">
      <c r="A36" s="12" t="inlineStr">
        <is>
          <t>Ориентир стоимости объекта</t>
        </is>
      </c>
      <c r="G36" s="13">
        <f>G35*B5</f>
        <v/>
      </c>
    </row>
    <row r="38">
      <c r="A38" s="14" t="inlineStr">
        <is>
          <t>Правьте корректировки в колонке «Корректировка, %» и веса в колонке «Вес аналога» — итоги пересчитаются сами. Корректировка пишется в процентах: −10 означает минус 10 %.</t>
        </is>
      </c>
    </row>
  </sheetData>
  <mergeCells count="2">
    <mergeCell ref="A36:F36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2026-07-25T17:13:07Z</dcterms:created>
  <dcterms:modified xmlns:dcterms="http://purl.org/dc/terms/" xmlns:xsi="http://www.w3.org/2001/XMLSchema-instance" xsi:type="dcterms:W3CDTF">2026-07-25T17:13:07Z</dcterms:modified>
</cp:coreProperties>
</file>