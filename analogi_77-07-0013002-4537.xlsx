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оги" sheetId="1" state="visible" r:id="rId1"/>
    <sheet xmlns:r="http://schemas.openxmlformats.org/officeDocument/2006/relationships" name="Рас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&quot; ₽&quot;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2" fillId="0" borderId="0" pivotButton="0" quotePrefix="0" xfId="1"/>
    <xf numFmtId="0" fontId="3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2" fontId="0" fillId="0" borderId="1" pivotButton="0" quotePrefix="0" xfId="0"/>
    <xf numFmtId="0" fontId="1" fillId="0" borderId="0" applyAlignment="1" pivotButton="0" quotePrefix="0" xfId="0">
      <alignment horizontal="right"/>
    </xf>
    <xf numFmtId="165" fontId="1" fillId="2" borderId="1" pivotButton="0" quotePrefix="0" xfId="0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alty.yandex.ru/offer/790050714806235709" TargetMode="External" Id="rId1"/><Relationship Type="http://schemas.openxmlformats.org/officeDocument/2006/relationships/hyperlink" Target="https://realty.yandex.ru/offer/5443762097619079435" TargetMode="External" Id="rId2"/><Relationship Type="http://schemas.openxmlformats.org/officeDocument/2006/relationships/hyperlink" Target="https://realty.yandex.ru/offer/5226080894684748186" TargetMode="External" Id="rId3"/><Relationship Type="http://schemas.openxmlformats.org/officeDocument/2006/relationships/hyperlink" Target="https://homeapp.ru/apartment/5765679" TargetMode="External" Id="rId4"/><Relationship Type="http://schemas.openxmlformats.org/officeDocument/2006/relationships/hyperlink" Target="https://rg-dev.ru/novostroyki/petrovskij-park-2/1-korpus/2E-k_kvartira_43m_PP2-1-3-0599" TargetMode="External" Id="rId5"/><Relationship Type="http://schemas.openxmlformats.org/officeDocument/2006/relationships/hyperlink" Target="https://realty.yandex.ru/offer/5227772176694074296" TargetMode="External" Id="rId6"/><Relationship Type="http://schemas.openxmlformats.org/officeDocument/2006/relationships/hyperlink" Target="https://donstroy.moscow/objects/simvol/plans/quarter7/korpus36/section4/floor15/flat260136549" TargetMode="External" Id="rId7"/><Relationship Type="http://schemas.openxmlformats.org/officeDocument/2006/relationships/hyperlink" Target="https://realty.yandex.ru/offer/3394924946899625277" TargetMode="External" Id="rId8"/><Relationship Type="http://schemas.openxmlformats.org/officeDocument/2006/relationships/hyperlink" Target="https://realty.yandex.ru/offer/4272704618020886467" TargetMode="External" Id="rId9"/><Relationship Type="http://schemas.openxmlformats.org/officeDocument/2006/relationships/hyperlink" Target="https://realty.yandex.ru/offer/1367008149330578578" TargetMode="External" Id="rId10"/><Relationship Type="http://schemas.openxmlformats.org/officeDocument/2006/relationships/hyperlink" Target="https://realty.yandex.ru/offer/6277033079621700374" TargetMode="External" Id="rId11"/><Relationship Type="http://schemas.openxmlformats.org/officeDocument/2006/relationships/hyperlink" Target="https://www.estatet.ru/catalog_new/sec/400265112/" TargetMode="External" Id="rId12"/><Relationship Type="http://schemas.openxmlformats.org/officeDocument/2006/relationships/hyperlink" Target="https://realty.yandex.ru/offer/1292892179464971658" TargetMode="External" Id="rId13"/><Relationship Type="http://schemas.openxmlformats.org/officeDocument/2006/relationships/hyperlink" Target="https://realty.yandex.ru/offer/2793175907839940609" TargetMode="External" Id="rId14"/><Relationship Type="http://schemas.openxmlformats.org/officeDocument/2006/relationships/hyperlink" Target="https://kortros.ru/projects/ultima/flat/c54e7d1f-762a-f011-a2cb-00505601072f" TargetMode="External" Id="rId15"/><Relationship Type="http://schemas.openxmlformats.org/officeDocument/2006/relationships/hyperlink" Target="https://realty.yandex.ru/offer/7053956912496665418" TargetMode="External" Id="rId16"/><Relationship Type="http://schemas.openxmlformats.org/officeDocument/2006/relationships/hyperlink" Target="https://xn--80ano2a.xn--p1ai/" TargetMode="External" Id="rId17"/><Relationship Type="http://schemas.openxmlformats.org/officeDocument/2006/relationships/hyperlink" Target="https://homeapp.ru/apartment/5865484" TargetMode="External" Id="rId18"/><Relationship Type="http://schemas.openxmlformats.org/officeDocument/2006/relationships/hyperlink" Target="https://realty.yandex.ru/offer/6171326615473045978" TargetMode="External" Id="rId19"/><Relationship Type="http://schemas.openxmlformats.org/officeDocument/2006/relationships/hyperlink" Target="https://www.ogrk-center.ru/estate/389336/" TargetMode="External" Id="rId20"/><Relationship Type="http://schemas.openxmlformats.org/officeDocument/2006/relationships/hyperlink" Target="https://www.ogrk-center.ru/estate/389557/" TargetMode="External" Id="rId21"/><Relationship Type="http://schemas.openxmlformats.org/officeDocument/2006/relationships/hyperlink" Target="https://pride-home.ru/pdf-generate?id=1-1-7-2" TargetMode="External" Id="rId22"/><Relationship Type="http://schemas.openxmlformats.org/officeDocument/2006/relationships/hyperlink" Target="https://&#1084;&#1072;&#1085;&#1075;&#1072;&#1079;&#1077;&#1103;.&#1088;&#1092;/catalog/a78a7c3d-caaa-417a-8aab-36a1d3e43963" TargetMode="External" Id="rId23"/><Relationship Type="http://schemas.openxmlformats.org/officeDocument/2006/relationships/hyperlink" Target="https://realty.yandex.ru/offer/7053956912497711233" TargetMode="External" Id="rId24"/><Relationship Type="http://schemas.openxmlformats.org/officeDocument/2006/relationships/hyperlink" Target="https://realty.yandex.ru/offer/7053956910749455101" TargetMode="External" Id="rId25"/><Relationship Type="http://schemas.openxmlformats.org/officeDocument/2006/relationships/hyperlink" Target="https://realty.yandex.ru/offer/6988527579888131154" TargetMode="External" Id="rId26"/><Relationship Type="http://schemas.openxmlformats.org/officeDocument/2006/relationships/hyperlink" Target="https://www.ogrk-center.ru/estate/389285/" TargetMode="External" Id="rId27"/><Relationship Type="http://schemas.openxmlformats.org/officeDocument/2006/relationships/hyperlink" Target="https://realty.yandex.ru/offer/3937530341866253446" TargetMode="External" Id="rId28"/><Relationship Type="http://schemas.openxmlformats.org/officeDocument/2006/relationships/hyperlink" Target="https://realty.yandex.ru/offer/4621269263571465324" TargetMode="External" Id="rId29"/><Relationship Type="http://schemas.openxmlformats.org/officeDocument/2006/relationships/hyperlink" Target="https://realty.yandex.ru/offer/5037198476201317584" TargetMode="External" Id="rId30"/><Relationship Type="http://schemas.openxmlformats.org/officeDocument/2006/relationships/hyperlink" Target="https://realty.yandex.ru/offer/7053956910724551845" TargetMode="External" Id="rId31"/><Relationship Type="http://schemas.openxmlformats.org/officeDocument/2006/relationships/hyperlink" Target="https://realty.yandex.ru/offer/6988527579921583599" TargetMode="External" Id="rId32"/><Relationship Type="http://schemas.openxmlformats.org/officeDocument/2006/relationships/hyperlink" Target="http://testserver/novostroyki/semenovskij-park-2/1-korpus/2E-k_kvartira_37m_SP2-1-17-195" TargetMode="External" Id="rId33"/><Relationship Type="http://schemas.openxmlformats.org/officeDocument/2006/relationships/hyperlink" Target="https://realty.yandex.ru/offer/5513960850204275580" TargetMode="External" Id="rId34"/><Relationship Type="http://schemas.openxmlformats.org/officeDocument/2006/relationships/hyperlink" Target="https://www.ogrk-center.ru/estate/390145/" TargetMode="External" Id="rId35"/><Relationship Type="http://schemas.openxmlformats.org/officeDocument/2006/relationships/hyperlink" Target="https://realty.yandex.ru/offer/5583053175280978897" TargetMode="External" Id="rId36"/><Relationship Type="http://schemas.openxmlformats.org/officeDocument/2006/relationships/hyperlink" Target="https://realty.yandex.ru/offer/1052883276021698581" TargetMode="External" Id="rId37"/><Relationship Type="http://schemas.openxmlformats.org/officeDocument/2006/relationships/hyperlink" Target="https://moskva.brusnika.ru/flat/50274/" TargetMode="External" Id="rId38"/><Relationship Type="http://schemas.openxmlformats.org/officeDocument/2006/relationships/hyperlink" Target="https://realty.yandex.ru/offer/6086360028874966272" TargetMode="External" Id="rId39"/><Relationship Type="http://schemas.openxmlformats.org/officeDocument/2006/relationships/hyperlink" Target="https://donstroy.moscow/objects/&#1053;&#1072;&#1095;&#1072;&#1083;&#1086;/plans/quarter1/korpus7/section1/floor16/flat360207173" TargetMode="External" Id="rId40"/><Relationship Type="http://schemas.openxmlformats.org/officeDocument/2006/relationships/hyperlink" Target="https://realty.yandex.ru/offer/4311215184128733829" TargetMode="External" Id="rId41"/><Relationship Type="http://schemas.openxmlformats.org/officeDocument/2006/relationships/hyperlink" Target="https://realty.yandex.ru/offer/5080059205004708466" TargetMode="External" Id="rId42"/><Relationship Type="http://schemas.openxmlformats.org/officeDocument/2006/relationships/hyperlink" Target="https://tatum.forma.ru/flat/1051443" TargetMode="External" Id="rId43"/><Relationship Type="http://schemas.openxmlformats.org/officeDocument/2006/relationships/hyperlink" Target="https://soul.forma.ru/flat/932445" TargetMode="External" Id="rId44"/><Relationship Type="http://schemas.openxmlformats.org/officeDocument/2006/relationships/hyperlink" Target="https://ice-towers.ru/flats/1-komnatnaya-kvartira-35m-1208" TargetMode="External" Id="rId45"/><Relationship Type="http://schemas.openxmlformats.org/officeDocument/2006/relationships/hyperlink" Target="https://realty.yandex.ru/offer/5348750664427149962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6" customWidth="1" min="4" max="4"/>
    <col width="14" customWidth="1" min="5" max="5"/>
    <col width="18" customWidth="1" min="6" max="6"/>
    <col width="10" customWidth="1" min="7" max="7"/>
    <col width="52" customWidth="1" min="8" max="8"/>
    <col width="46" customWidth="1" min="9" max="9"/>
  </cols>
  <sheetData>
    <row r="1">
      <c r="A1" s="1" t="inlineStr">
        <is>
          <t>В расчёт</t>
        </is>
      </c>
      <c r="B1" s="1" t="inlineStr">
        <is>
          <t>Совпадение адреса</t>
        </is>
      </c>
      <c r="C1" s="1" t="inlineStr">
        <is>
          <t>Отклонение площади, %</t>
        </is>
      </c>
      <c r="D1" s="1" t="inlineStr">
        <is>
          <t>Цена, руб.</t>
        </is>
      </c>
      <c r="E1" s="1" t="inlineStr">
        <is>
          <t>Площадь, кв. м</t>
        </is>
      </c>
      <c r="F1" s="1" t="inlineStr">
        <is>
          <t>Цена за кв. м, руб.</t>
        </is>
      </c>
      <c r="G1" s="1" t="inlineStr">
        <is>
          <t>Этаж</t>
        </is>
      </c>
      <c r="H1" s="1" t="inlineStr">
        <is>
          <t>Адрес</t>
        </is>
      </c>
      <c r="I1" s="1" t="inlineStr">
        <is>
          <t>Ссылка</t>
        </is>
      </c>
    </row>
    <row r="2">
      <c r="A2" s="2" t="inlineStr">
        <is>
          <t>да</t>
        </is>
      </c>
      <c r="B2" s="2" t="inlineStr">
        <is>
          <t>тот же город</t>
        </is>
      </c>
      <c r="C2" s="3" t="n">
        <v>-0.2</v>
      </c>
      <c r="D2" s="4" t="n">
        <v>44224400</v>
      </c>
      <c r="E2" s="5" t="n">
        <v>44</v>
      </c>
      <c r="F2" s="4" t="n">
        <v>1005100</v>
      </c>
      <c r="G2" s="2" t="inlineStr">
        <is>
          <t>12/25</t>
        </is>
      </c>
      <c r="H2" s="2" t="inlineStr">
        <is>
          <t>Россия, Москва, ЖК Мастерс</t>
        </is>
      </c>
      <c r="I2" s="6" t="inlineStr">
        <is>
          <t>https://realty.yandex.ru/offer/790050714806235709</t>
        </is>
      </c>
    </row>
    <row r="3">
      <c r="A3" s="2" t="inlineStr">
        <is>
          <t>да</t>
        </is>
      </c>
      <c r="B3" s="2" t="inlineStr">
        <is>
          <t>тот же город</t>
        </is>
      </c>
      <c r="C3" s="3" t="n">
        <v>-0.2</v>
      </c>
      <c r="D3" s="4" t="n">
        <v>18299900</v>
      </c>
      <c r="E3" s="5" t="n">
        <v>44</v>
      </c>
      <c r="F3" s="4" t="n">
        <v>415906.8181818182</v>
      </c>
      <c r="G3" s="2" t="inlineStr">
        <is>
          <t>9/9</t>
        </is>
      </c>
      <c r="H3" s="2" t="inlineStr">
        <is>
          <t>Россия, Москва, Есенинский бульвар, 3</t>
        </is>
      </c>
      <c r="I3" s="6" t="inlineStr">
        <is>
          <t>https://realty.yandex.ru/offer/5443762097619079435</t>
        </is>
      </c>
    </row>
    <row r="4">
      <c r="A4" s="2" t="inlineStr">
        <is>
          <t>да</t>
        </is>
      </c>
      <c r="B4" s="2" t="inlineStr">
        <is>
          <t>тот же город</t>
        </is>
      </c>
      <c r="C4" s="3" t="n">
        <v>-0.2</v>
      </c>
      <c r="D4" s="4" t="n">
        <v>22200000</v>
      </c>
      <c r="E4" s="5" t="n">
        <v>44</v>
      </c>
      <c r="F4" s="4" t="n">
        <v>504545.4545454545</v>
      </c>
      <c r="G4" s="2" t="inlineStr">
        <is>
          <t>2/9</t>
        </is>
      </c>
      <c r="H4" s="2" t="inlineStr">
        <is>
          <t>Россия, Москва, Октябрьская улица, 11</t>
        </is>
      </c>
      <c r="I4" s="6" t="inlineStr">
        <is>
          <t>https://realty.yandex.ru/offer/5226080894684748186</t>
        </is>
      </c>
    </row>
    <row r="5">
      <c r="A5" s="2" t="inlineStr">
        <is>
          <t>да</t>
        </is>
      </c>
      <c r="B5" s="2" t="inlineStr">
        <is>
          <t>тот же город</t>
        </is>
      </c>
      <c r="C5" s="3" t="n">
        <v>-1.6</v>
      </c>
      <c r="D5" s="4" t="n">
        <v>17000000</v>
      </c>
      <c r="E5" s="5" t="n">
        <v>43.4</v>
      </c>
      <c r="F5" s="4" t="n">
        <v>391705.069124424</v>
      </c>
      <c r="G5" s="2" t="inlineStr">
        <is>
          <t>11/16</t>
        </is>
      </c>
      <c r="H5" s="2" t="inlineStr">
        <is>
          <t>Россия, Москва, Щербаковская улица, 5</t>
        </is>
      </c>
      <c r="I5" s="6" t="inlineStr">
        <is>
          <t>https://homeapp.ru/apartment/5765679</t>
        </is>
      </c>
    </row>
    <row r="6">
      <c r="A6" s="2" t="inlineStr">
        <is>
          <t>да</t>
        </is>
      </c>
      <c r="B6" s="2" t="inlineStr">
        <is>
          <t>тот же город</t>
        </is>
      </c>
      <c r="C6" s="3" t="n">
        <v>-2</v>
      </c>
      <c r="D6" s="4" t="n">
        <v>25881292</v>
      </c>
      <c r="E6" s="5" t="n">
        <v>43.2</v>
      </c>
      <c r="F6" s="4" t="n">
        <v>599103.9814814815</v>
      </c>
      <c r="G6" s="2" t="inlineStr">
        <is>
          <t>3/19</t>
        </is>
      </c>
      <c r="H6" s="2" t="inlineStr">
        <is>
          <t>Россия, Москва, Старый Петровско-Разумовский проезд, 1</t>
        </is>
      </c>
      <c r="I6" s="6" t="inlineStr">
        <is>
          <t>https://rg-dev.ru/novostroyki/petrovskij-park-2/1-korpus/2E-k_kvartira_43m_PP2-1-3-0599</t>
        </is>
      </c>
    </row>
    <row r="7">
      <c r="A7" s="2" t="inlineStr">
        <is>
          <t>да</t>
        </is>
      </c>
      <c r="B7" s="2" t="inlineStr">
        <is>
          <t>тот же город</t>
        </is>
      </c>
      <c r="C7" s="3" t="n">
        <v>2</v>
      </c>
      <c r="D7" s="4" t="n">
        <v>15150000</v>
      </c>
      <c r="E7" s="5" t="n">
        <v>45</v>
      </c>
      <c r="F7" s="4" t="n">
        <v>336666.6666666667</v>
      </c>
      <c r="G7" s="2" t="inlineStr">
        <is>
          <t>6/12</t>
        </is>
      </c>
      <c r="H7" s="2" t="inlineStr">
        <is>
          <t>Россия, Москва, Рязанский проспект, 80к3</t>
        </is>
      </c>
      <c r="I7" s="6" t="inlineStr">
        <is>
          <t>https://realty.yandex.ru/offer/5227772176694074296</t>
        </is>
      </c>
    </row>
    <row r="8">
      <c r="A8" s="2" t="inlineStr">
        <is>
          <t>да</t>
        </is>
      </c>
      <c r="B8" s="2" t="inlineStr">
        <is>
          <t>тот же город</t>
        </is>
      </c>
      <c r="C8" s="3" t="n">
        <v>2.9</v>
      </c>
      <c r="D8" s="4" t="n">
        <v>25514800</v>
      </c>
      <c r="E8" s="5" t="n">
        <v>45.4</v>
      </c>
      <c r="F8" s="4" t="n">
        <v>562000</v>
      </c>
      <c r="G8" s="2" t="inlineStr">
        <is>
          <t>15/27</t>
        </is>
      </c>
      <c r="H8" s="2" t="inlineStr">
        <is>
          <t>Россия, Москва, Юго-Восточный административный округ, район Лефортово, ЖК Символ</t>
        </is>
      </c>
      <c r="I8" s="6" t="inlineStr">
        <is>
          <t>https://donstroy.moscow/objects/simvol/plans/quarter7/korpus36/section4/floor15/flat260136549</t>
        </is>
      </c>
    </row>
    <row r="9">
      <c r="A9" s="2" t="inlineStr">
        <is>
          <t>да</t>
        </is>
      </c>
      <c r="B9" s="2" t="inlineStr">
        <is>
          <t>тот же город</t>
        </is>
      </c>
      <c r="C9" s="3" t="n">
        <v>3.2</v>
      </c>
      <c r="D9" s="4" t="n">
        <v>21800000</v>
      </c>
      <c r="E9" s="5" t="n">
        <v>45.5</v>
      </c>
      <c r="F9" s="4" t="n">
        <v>479120.8791208791</v>
      </c>
      <c r="G9" s="2" t="inlineStr">
        <is>
          <t>7/33</t>
        </is>
      </c>
      <c r="H9" s="2" t="inlineStr">
        <is>
          <t>Россия, Москва, Базовская улица, 15Бк2</t>
        </is>
      </c>
      <c r="I9" s="6" t="inlineStr">
        <is>
          <t>https://realty.yandex.ru/offer/3394924946899625277</t>
        </is>
      </c>
    </row>
    <row r="10">
      <c r="A10" s="2" t="inlineStr">
        <is>
          <t>да</t>
        </is>
      </c>
      <c r="B10" s="2" t="inlineStr">
        <is>
          <t>тот же город</t>
        </is>
      </c>
      <c r="C10" s="3" t="n">
        <v>3.4</v>
      </c>
      <c r="D10" s="4" t="n">
        <v>27816000</v>
      </c>
      <c r="E10" s="5" t="n">
        <v>45.6</v>
      </c>
      <c r="F10" s="4" t="n">
        <v>610000</v>
      </c>
      <c r="G10" s="2" t="inlineStr">
        <is>
          <t>6/19</t>
        </is>
      </c>
      <c r="H10" s="2" t="inlineStr">
        <is>
          <t>Россия, Москва, улица Миклухо-Маклая, 23</t>
        </is>
      </c>
      <c r="I10" s="6" t="inlineStr">
        <is>
          <t>https://realty.yandex.ru/offer/4272704618020886467</t>
        </is>
      </c>
    </row>
    <row r="11">
      <c r="A11" s="2" t="inlineStr">
        <is>
          <t>да</t>
        </is>
      </c>
      <c r="B11" s="2" t="inlineStr">
        <is>
          <t>тот же город</t>
        </is>
      </c>
      <c r="C11" s="3" t="n">
        <v>3.6</v>
      </c>
      <c r="D11" s="4" t="n">
        <v>27420000</v>
      </c>
      <c r="E11" s="5" t="n">
        <v>45.7</v>
      </c>
      <c r="F11" s="4" t="n">
        <v>600000</v>
      </c>
      <c r="G11" s="2" t="inlineStr">
        <is>
          <t>4/19</t>
        </is>
      </c>
      <c r="H11" s="2" t="inlineStr">
        <is>
          <t>Россия, Москва, улица Миклухо-Маклая, 23</t>
        </is>
      </c>
      <c r="I11" s="6" t="inlineStr">
        <is>
          <t>https://realty.yandex.ru/offer/1367008149330578578</t>
        </is>
      </c>
    </row>
    <row r="12">
      <c r="A12" s="2" t="inlineStr">
        <is>
          <t>да</t>
        </is>
      </c>
      <c r="B12" s="2" t="inlineStr">
        <is>
          <t>тот же город</t>
        </is>
      </c>
      <c r="C12" s="3" t="n">
        <v>4.2</v>
      </c>
      <c r="D12" s="4" t="n">
        <v>18330060</v>
      </c>
      <c r="E12" s="5" t="n">
        <v>45.94</v>
      </c>
      <c r="F12" s="4" t="n">
        <v>399000</v>
      </c>
      <c r="G12" s="2" t="inlineStr">
        <is>
          <t>6/20</t>
        </is>
      </c>
      <c r="H12" s="2" t="inlineStr">
        <is>
          <t>Россия, Москва, Потешная улица, вл5с2</t>
        </is>
      </c>
      <c r="I12" s="6" t="inlineStr">
        <is>
          <t>https://realty.yandex.ru/offer/6277033079621700374</t>
        </is>
      </c>
    </row>
    <row r="13">
      <c r="A13" s="2" t="inlineStr">
        <is>
          <t>да</t>
        </is>
      </c>
      <c r="B13" s="2" t="inlineStr">
        <is>
          <t>тот же город</t>
        </is>
      </c>
      <c r="C13" s="3" t="n">
        <v>4.3</v>
      </c>
      <c r="D13" s="4" t="n">
        <v>16800000</v>
      </c>
      <c r="E13" s="5" t="n">
        <v>46</v>
      </c>
      <c r="F13" s="4" t="n">
        <v>365217.3913043478</v>
      </c>
      <c r="G13" s="2" t="inlineStr">
        <is>
          <t>8/9</t>
        </is>
      </c>
      <c r="H13" s="2" t="inlineStr">
        <is>
          <t>Россия, Москва, улица Академика Павлова, 21к2</t>
        </is>
      </c>
      <c r="I13" s="6" t="inlineStr">
        <is>
          <t>https://www.estatet.ru/catalog_new/sec/400265112/</t>
        </is>
      </c>
    </row>
    <row r="14">
      <c r="A14" s="2" t="inlineStr">
        <is>
          <t>да</t>
        </is>
      </c>
      <c r="B14" s="2" t="inlineStr">
        <is>
          <t>тот же город</t>
        </is>
      </c>
      <c r="C14" s="3" t="n">
        <v>-5</v>
      </c>
      <c r="D14" s="4" t="n">
        <v>32740660</v>
      </c>
      <c r="E14" s="5" t="n">
        <v>41.9</v>
      </c>
      <c r="F14" s="4" t="n">
        <v>781400</v>
      </c>
      <c r="G14" s="2" t="inlineStr">
        <is>
          <t>12/22</t>
        </is>
      </c>
      <c r="H14" s="2" t="inlineStr">
        <is>
          <t>Россия, Москва, Северо-Западный административный округ, район Покровское-Стрешнево, жилой комплекс Клубный Город на Реке Примавера</t>
        </is>
      </c>
      <c r="I14" s="6" t="inlineStr">
        <is>
          <t>https://realty.yandex.ru/offer/1292892179464971658</t>
        </is>
      </c>
    </row>
    <row r="15">
      <c r="A15" s="2" t="inlineStr">
        <is>
          <t>да</t>
        </is>
      </c>
      <c r="B15" s="2" t="inlineStr">
        <is>
          <t>тот же город</t>
        </is>
      </c>
      <c r="C15" s="3" t="n">
        <v>5.4</v>
      </c>
      <c r="D15" s="4" t="n">
        <v>14200000</v>
      </c>
      <c r="E15" s="5" t="n">
        <v>46.5</v>
      </c>
      <c r="F15" s="4" t="n">
        <v>305376.3440860215</v>
      </c>
      <c r="G15" s="2" t="inlineStr">
        <is>
          <t>4/9</t>
        </is>
      </c>
      <c r="H15" s="2" t="inlineStr">
        <is>
          <t>Россия, Москва, Можайское шоссе, 22</t>
        </is>
      </c>
      <c r="I15" s="6" t="inlineStr">
        <is>
          <t>https://realty.yandex.ru/offer/2793175907839940609</t>
        </is>
      </c>
    </row>
    <row r="16">
      <c r="A16" s="2" t="inlineStr">
        <is>
          <t>да</t>
        </is>
      </c>
      <c r="B16" s="2" t="inlineStr">
        <is>
          <t>тот же город</t>
        </is>
      </c>
      <c r="C16" s="3" t="n">
        <v>6</v>
      </c>
      <c r="D16" s="4" t="n">
        <v>25286340</v>
      </c>
      <c r="E16" s="5" t="n">
        <v>46.74</v>
      </c>
      <c r="F16" s="4" t="n">
        <v>541000</v>
      </c>
      <c r="G16" s="2" t="inlineStr">
        <is>
          <t>22/44</t>
        </is>
      </c>
      <c r="H16" s="2" t="inlineStr">
        <is>
          <t>Россия, Москва, ЖК Ультима Сити</t>
        </is>
      </c>
      <c r="I16" s="6" t="inlineStr">
        <is>
          <t>https://kortros.ru/projects/ultima/flat/c54e7d1f-762a-f011-a2cb-00505601072f</t>
        </is>
      </c>
    </row>
    <row r="17">
      <c r="A17" s="2" t="inlineStr">
        <is>
          <t>да</t>
        </is>
      </c>
      <c r="B17" s="2" t="inlineStr">
        <is>
          <t>тот же город</t>
        </is>
      </c>
      <c r="C17" s="3" t="n">
        <v>-6.6</v>
      </c>
      <c r="D17" s="4" t="n">
        <v>9999999</v>
      </c>
      <c r="E17" s="5" t="n">
        <v>41.2</v>
      </c>
      <c r="F17" s="4" t="n">
        <v>242718.4223300971</v>
      </c>
      <c r="G17" s="2" t="inlineStr">
        <is>
          <t>4/4</t>
        </is>
      </c>
      <c r="H17" s="2" t="inlineStr">
        <is>
          <t>Россия, Москва, Большая Семёновская улица, 45</t>
        </is>
      </c>
      <c r="I17" s="6" t="inlineStr">
        <is>
          <t>https://realty.yandex.ru/offer/7053956912496665418</t>
        </is>
      </c>
    </row>
    <row r="18">
      <c r="A18" s="2" t="inlineStr">
        <is>
          <t>да</t>
        </is>
      </c>
      <c r="B18" s="2" t="inlineStr">
        <is>
          <t>тот же город</t>
        </is>
      </c>
      <c r="C18" s="3" t="n">
        <v>-6.6</v>
      </c>
      <c r="D18" s="4" t="n">
        <v>43692600</v>
      </c>
      <c r="E18" s="5" t="n">
        <v>41.2</v>
      </c>
      <c r="F18" s="4" t="n">
        <v>1060500</v>
      </c>
      <c r="G18" s="2" t="inlineStr">
        <is>
          <t>4/20</t>
        </is>
      </c>
      <c r="H18" s="2" t="inlineStr">
        <is>
          <t>Россия, Москва, Северный административный округ, район Аэропорт</t>
        </is>
      </c>
      <c r="I18" s="6" t="inlineStr">
        <is>
          <t>https://xn--80ano2a.xn--p1ai/</t>
        </is>
      </c>
    </row>
    <row r="19">
      <c r="A19" s="2" t="inlineStr">
        <is>
          <t>да</t>
        </is>
      </c>
      <c r="B19" s="2" t="inlineStr">
        <is>
          <t>тот же город</t>
        </is>
      </c>
      <c r="C19" s="3" t="n">
        <v>6.6</v>
      </c>
      <c r="D19" s="4" t="n">
        <v>18950000</v>
      </c>
      <c r="E19" s="5" t="n">
        <v>47</v>
      </c>
      <c r="F19" s="4" t="n">
        <v>403191.4893617021</v>
      </c>
      <c r="G19" s="2" t="inlineStr">
        <is>
          <t>4/14</t>
        </is>
      </c>
      <c r="H19" s="2" t="inlineStr">
        <is>
          <t>Россия, Москва, Чертановская улица, 50к1</t>
        </is>
      </c>
      <c r="I19" s="6" t="inlineStr">
        <is>
          <t>https://homeapp.ru/apartment/5865484</t>
        </is>
      </c>
    </row>
    <row r="20">
      <c r="A20" s="2" t="inlineStr">
        <is>
          <t>да</t>
        </is>
      </c>
      <c r="B20" s="2" t="inlineStr">
        <is>
          <t>тот же город</t>
        </is>
      </c>
      <c r="C20" s="3" t="n">
        <v>-6.8</v>
      </c>
      <c r="D20" s="4" t="n">
        <v>20147220</v>
      </c>
      <c r="E20" s="5" t="n">
        <v>41.1</v>
      </c>
      <c r="F20" s="4" t="n">
        <v>490200</v>
      </c>
      <c r="G20" s="2" t="inlineStr">
        <is>
          <t>24/29</t>
        </is>
      </c>
      <c r="H20" s="2" t="inlineStr">
        <is>
          <t>Россия, Москва, улица Намёткина, 10</t>
        </is>
      </c>
      <c r="I20" s="6" t="inlineStr">
        <is>
          <t>https://realty.yandex.ru/offer/6171326615473045978</t>
        </is>
      </c>
    </row>
    <row r="21">
      <c r="A21" s="2" t="inlineStr">
        <is>
          <t>да</t>
        </is>
      </c>
      <c r="B21" s="2" t="inlineStr">
        <is>
          <t>тот же город</t>
        </is>
      </c>
      <c r="C21" s="3" t="n">
        <v>-6.8</v>
      </c>
      <c r="D21" s="4" t="n">
        <v>9000000</v>
      </c>
      <c r="E21" s="5" t="n">
        <v>41.1</v>
      </c>
      <c r="F21" s="4" t="n">
        <v>218978.102189781</v>
      </c>
      <c r="G21" s="2" t="inlineStr">
        <is>
          <t>2/12</t>
        </is>
      </c>
      <c r="H21" s="2" t="inlineStr">
        <is>
          <t>Россия, Московская область, Одинцовский городской округ, посёлок городского типа Новоивановское, Овражная улица, 47А</t>
        </is>
      </c>
      <c r="I21" s="6" t="inlineStr">
        <is>
          <t>https://www.ogrk-center.ru/estate/389336/</t>
        </is>
      </c>
    </row>
    <row r="22">
      <c r="A22" s="2" t="inlineStr">
        <is>
          <t>да</t>
        </is>
      </c>
      <c r="B22" s="2" t="inlineStr">
        <is>
          <t>тот же город</t>
        </is>
      </c>
      <c r="C22" s="3" t="n">
        <v>-7</v>
      </c>
      <c r="D22" s="4" t="n">
        <v>17000000</v>
      </c>
      <c r="E22" s="5" t="n">
        <v>41</v>
      </c>
      <c r="F22" s="4" t="n">
        <v>414634.1463414634</v>
      </c>
      <c r="G22" s="2" t="inlineStr">
        <is>
          <t>3/9</t>
        </is>
      </c>
      <c r="H22" s="2" t="inlineStr">
        <is>
          <t>Россия, Москва, Волгоградский проспект, 9с1</t>
        </is>
      </c>
      <c r="I22" s="6" t="inlineStr">
        <is>
          <t>https://www.ogrk-center.ru/estate/389557/</t>
        </is>
      </c>
    </row>
    <row r="23">
      <c r="A23" s="2" t="inlineStr">
        <is>
          <t>да</t>
        </is>
      </c>
      <c r="B23" s="2" t="inlineStr">
        <is>
          <t>тот же город</t>
        </is>
      </c>
      <c r="C23" s="3" t="n">
        <v>7.5</v>
      </c>
      <c r="D23" s="4" t="n">
        <v>35042820</v>
      </c>
      <c r="E23" s="5" t="n">
        <v>47.4</v>
      </c>
      <c r="F23" s="4" t="n">
        <v>739300</v>
      </c>
      <c r="G23" s="2" t="inlineStr">
        <is>
          <t>7/22</t>
        </is>
      </c>
      <c r="H23" s="2" t="inlineStr">
        <is>
          <t>Россия, Москва, Полковая улица, 1к1</t>
        </is>
      </c>
      <c r="I23" s="6" t="inlineStr">
        <is>
          <t>https://pride-home.ru/pdf-generate?id=1-1-7-2</t>
        </is>
      </c>
    </row>
    <row r="24">
      <c r="A24" s="2" t="inlineStr">
        <is>
          <t>да</t>
        </is>
      </c>
      <c r="B24" s="2" t="inlineStr">
        <is>
          <t>тот же город</t>
        </is>
      </c>
      <c r="C24" s="3" t="n">
        <v>-9.1</v>
      </c>
      <c r="D24" s="4" t="n">
        <v>27901580</v>
      </c>
      <c r="E24" s="5" t="n">
        <v>40.1</v>
      </c>
      <c r="F24" s="4" t="n">
        <v>695800</v>
      </c>
      <c r="G24" s="2" t="inlineStr">
        <is>
          <t>9/12</t>
        </is>
      </c>
      <c r="H24" s="2" t="inlineStr">
        <is>
          <t>Россия, Москва, ЖК Мангазея на Речном</t>
        </is>
      </c>
      <c r="I24" s="6" t="inlineStr">
        <is>
          <t>https://мангазея.рф/catalog/a78a7c3d-caaa-417a-8aab-36a1d3e43963</t>
        </is>
      </c>
    </row>
    <row r="25">
      <c r="A25" s="2" t="inlineStr">
        <is>
          <t>да</t>
        </is>
      </c>
      <c r="B25" s="2" t="inlineStr">
        <is>
          <t>тот же город</t>
        </is>
      </c>
      <c r="C25" s="3" t="n">
        <v>-11.1</v>
      </c>
      <c r="D25" s="4" t="n">
        <v>15990000</v>
      </c>
      <c r="E25" s="5" t="n">
        <v>39.2</v>
      </c>
      <c r="F25" s="4" t="n">
        <v>407908.1632653061</v>
      </c>
      <c r="G25" s="2" t="inlineStr">
        <is>
          <t>7/14</t>
        </is>
      </c>
      <c r="H25" s="2" t="inlineStr">
        <is>
          <t>Россия, Москва, улица 800-летия Москвы, 11к5</t>
        </is>
      </c>
      <c r="I25" s="6" t="inlineStr">
        <is>
          <t>https://realty.yandex.ru/offer/7053956912497711233</t>
        </is>
      </c>
    </row>
    <row r="26">
      <c r="A26" s="2" t="inlineStr">
        <is>
          <t>да</t>
        </is>
      </c>
      <c r="B26" s="2" t="inlineStr">
        <is>
          <t>тот же город</t>
        </is>
      </c>
      <c r="C26" s="3" t="n">
        <v>-11.3</v>
      </c>
      <c r="D26" s="4" t="n">
        <v>15200000</v>
      </c>
      <c r="E26" s="5" t="n">
        <v>39.1</v>
      </c>
      <c r="F26" s="4" t="n">
        <v>388746.8030690537</v>
      </c>
      <c r="G26" s="2" t="inlineStr">
        <is>
          <t>3/12</t>
        </is>
      </c>
      <c r="H26" s="2" t="inlineStr">
        <is>
          <t>Россия, Москва, Алтуфьевское шоссе, 85А</t>
        </is>
      </c>
      <c r="I26" s="6" t="inlineStr">
        <is>
          <t>https://realty.yandex.ru/offer/7053956910749455101</t>
        </is>
      </c>
    </row>
    <row r="27">
      <c r="A27" s="2" t="inlineStr">
        <is>
          <t>да</t>
        </is>
      </c>
      <c r="B27" s="2" t="inlineStr">
        <is>
          <t>тот же город</t>
        </is>
      </c>
      <c r="C27" s="3" t="n">
        <v>-11.8</v>
      </c>
      <c r="D27" s="4" t="n">
        <v>14070859</v>
      </c>
      <c r="E27" s="5" t="n">
        <v>38.9</v>
      </c>
      <c r="F27" s="4" t="n">
        <v>361718.7403598972</v>
      </c>
      <c r="G27" s="2" t="inlineStr">
        <is>
          <t>15/19</t>
        </is>
      </c>
      <c r="H27" s="2" t="inlineStr">
        <is>
          <t>Россия, Москва, Новомосковский административный округ, Филимонковский район, Московский, жилой комплекс Первый Московский, 9-я фаза, к3</t>
        </is>
      </c>
      <c r="I27" s="6" t="inlineStr">
        <is>
          <t>https://realty.yandex.ru/offer/6988527579888131154</t>
        </is>
      </c>
    </row>
    <row r="28">
      <c r="A28" s="2" t="inlineStr">
        <is>
          <t>да</t>
        </is>
      </c>
      <c r="B28" s="2" t="inlineStr">
        <is>
          <t>тот же город</t>
        </is>
      </c>
      <c r="C28" s="3" t="n">
        <v>-13.8</v>
      </c>
      <c r="D28" s="4" t="n">
        <v>13500000</v>
      </c>
      <c r="E28" s="5" t="n">
        <v>38</v>
      </c>
      <c r="F28" s="4" t="n">
        <v>355263.1578947369</v>
      </c>
      <c r="G28" s="2" t="inlineStr">
        <is>
          <t>11/11</t>
        </is>
      </c>
      <c r="H28" s="2" t="inlineStr">
        <is>
          <t>Россия, Москва, Электролитный проезд, 5Б</t>
        </is>
      </c>
      <c r="I28" s="6" t="inlineStr">
        <is>
          <t>https://www.ogrk-center.ru/estate/389285/</t>
        </is>
      </c>
    </row>
    <row r="29">
      <c r="A29" s="2" t="inlineStr">
        <is>
          <t>да</t>
        </is>
      </c>
      <c r="B29" s="2" t="inlineStr">
        <is>
          <t>тот же город</t>
        </is>
      </c>
      <c r="C29" s="3" t="n">
        <v>-13.8</v>
      </c>
      <c r="D29" s="4" t="n">
        <v>24500000</v>
      </c>
      <c r="E29" s="5" t="n">
        <v>38</v>
      </c>
      <c r="F29" s="4" t="n">
        <v>644736.8421052631</v>
      </c>
      <c r="G29" s="2" t="inlineStr">
        <is>
          <t>19/22</t>
        </is>
      </c>
      <c r="H29" s="2" t="inlineStr">
        <is>
          <t>Россия, Москва, ЖК Остров, 5-й квартал, 3</t>
        </is>
      </c>
      <c r="I29" s="6" t="inlineStr">
        <is>
          <t>https://realty.yandex.ru/offer/3937530341866253446</t>
        </is>
      </c>
    </row>
    <row r="30">
      <c r="A30" s="2" t="inlineStr">
        <is>
          <t>да</t>
        </is>
      </c>
      <c r="B30" s="2" t="inlineStr">
        <is>
          <t>тот же город</t>
        </is>
      </c>
      <c r="C30" s="3" t="n">
        <v>-13.8</v>
      </c>
      <c r="D30" s="4" t="n">
        <v>13800000</v>
      </c>
      <c r="E30" s="5" t="n">
        <v>38</v>
      </c>
      <c r="F30" s="4" t="n">
        <v>363157.8947368421</v>
      </c>
      <c r="G30" s="2" t="inlineStr">
        <is>
          <t>4/22</t>
        </is>
      </c>
      <c r="H30" s="2" t="inlineStr">
        <is>
          <t>Россия, Москва, Рождественская улица, 15</t>
        </is>
      </c>
      <c r="I30" s="6" t="inlineStr">
        <is>
          <t>https://realty.yandex.ru/offer/4621269263571465324</t>
        </is>
      </c>
    </row>
    <row r="31">
      <c r="A31" s="2" t="inlineStr">
        <is>
          <t>да</t>
        </is>
      </c>
      <c r="B31" s="2" t="inlineStr">
        <is>
          <t>тот же город</t>
        </is>
      </c>
      <c r="C31" s="3" t="n">
        <v>13.8</v>
      </c>
      <c r="D31" s="4" t="n">
        <v>128010000</v>
      </c>
      <c r="E31" s="5" t="n">
        <v>50.2</v>
      </c>
      <c r="F31" s="4" t="n">
        <v>2550000</v>
      </c>
      <c r="G31" s="2" t="inlineStr">
        <is>
          <t>4/7</t>
        </is>
      </c>
      <c r="H31" s="2" t="inlineStr">
        <is>
          <t>Россия, Москва, улица Климашкина, 7/11</t>
        </is>
      </c>
      <c r="I31" s="6" t="inlineStr">
        <is>
          <t>https://realty.yandex.ru/offer/5037198476201317584</t>
        </is>
      </c>
    </row>
    <row r="32">
      <c r="A32" s="2" t="inlineStr">
        <is>
          <t>да</t>
        </is>
      </c>
      <c r="B32" s="2" t="inlineStr">
        <is>
          <t>тот же город</t>
        </is>
      </c>
      <c r="C32" s="3" t="n">
        <v>-14.5</v>
      </c>
      <c r="D32" s="4" t="n">
        <v>13999000</v>
      </c>
      <c r="E32" s="5" t="n">
        <v>37.7</v>
      </c>
      <c r="F32" s="4" t="n">
        <v>371326.2599469495</v>
      </c>
      <c r="G32" s="2" t="inlineStr">
        <is>
          <t>9/17</t>
        </is>
      </c>
      <c r="H32" s="2" t="inlineStr">
        <is>
          <t>Россия, Москва, Палехская улица, 147к1</t>
        </is>
      </c>
      <c r="I32" s="6" t="inlineStr">
        <is>
          <t>https://realty.yandex.ru/offer/7053956910724551845</t>
        </is>
      </c>
    </row>
    <row r="33">
      <c r="A33" s="2" t="inlineStr">
        <is>
          <t>да</t>
        </is>
      </c>
      <c r="B33" s="2" t="inlineStr">
        <is>
          <t>тот же город</t>
        </is>
      </c>
      <c r="C33" s="3" t="n">
        <v>-14.7</v>
      </c>
      <c r="D33" s="4" t="n">
        <v>15460867</v>
      </c>
      <c r="E33" s="5" t="n">
        <v>37.6</v>
      </c>
      <c r="F33" s="4" t="n">
        <v>411193.2712765957</v>
      </c>
      <c r="G33" s="2" t="inlineStr">
        <is>
          <t>2/17</t>
        </is>
      </c>
      <c r="H33" s="2" t="inlineStr">
        <is>
          <t>Россия, Москва, Новомосковский административный округ, район Внуково, улица Льва Кассиля, 1к1</t>
        </is>
      </c>
      <c r="I33" s="6" t="inlineStr">
        <is>
          <t>https://realty.yandex.ru/offer/6988527579921583599</t>
        </is>
      </c>
    </row>
    <row r="34">
      <c r="A34" s="2" t="inlineStr">
        <is>
          <t>да</t>
        </is>
      </c>
      <c r="B34" s="2" t="inlineStr">
        <is>
          <t>тот же город</t>
        </is>
      </c>
      <c r="C34" s="3" t="n">
        <v>-14.7</v>
      </c>
      <c r="D34" s="4" t="n">
        <v>20920640</v>
      </c>
      <c r="E34" s="5" t="n">
        <v>37.6</v>
      </c>
      <c r="F34" s="4" t="n">
        <v>556400</v>
      </c>
      <c r="G34" s="2" t="inlineStr">
        <is>
          <t>17/26</t>
        </is>
      </c>
      <c r="H34" s="2" t="inlineStr">
        <is>
          <t>Россия, Москва, 1-й Кирпичный переулок, 15А</t>
        </is>
      </c>
      <c r="I34" s="6" t="inlineStr">
        <is>
          <t>http://testserver/novostroyki/semenovskij-park-2/1-korpus/2E-k_kvartira_37m_SP2-1-17-195</t>
        </is>
      </c>
    </row>
    <row r="35">
      <c r="A35" s="2" t="inlineStr">
        <is>
          <t>да</t>
        </is>
      </c>
      <c r="B35" s="2" t="inlineStr">
        <is>
          <t>тот же город</t>
        </is>
      </c>
      <c r="C35" s="3" t="n">
        <v>-14.7</v>
      </c>
      <c r="D35" s="4" t="n">
        <v>49018480</v>
      </c>
      <c r="E35" s="5" t="n">
        <v>37.6</v>
      </c>
      <c r="F35" s="4" t="n">
        <v>1303682.978723404</v>
      </c>
      <c r="G35" s="2" t="inlineStr">
        <is>
          <t>12/45</t>
        </is>
      </c>
      <c r="H35" s="2" t="inlineStr">
        <is>
          <t>Россия, Москва, Кутузовский проезд, 16А/1</t>
        </is>
      </c>
      <c r="I35" s="6" t="inlineStr">
        <is>
          <t>https://realty.yandex.ru/offer/5513960850204275580</t>
        </is>
      </c>
    </row>
    <row r="36">
      <c r="A36" s="2" t="inlineStr">
        <is>
          <t>да</t>
        </is>
      </c>
      <c r="B36" s="2" t="inlineStr">
        <is>
          <t>тот же город</t>
        </is>
      </c>
      <c r="C36" s="3" t="n">
        <v>15.6</v>
      </c>
      <c r="D36" s="4" t="n">
        <v>17000000</v>
      </c>
      <c r="E36" s="5" t="n">
        <v>51</v>
      </c>
      <c r="F36" s="4" t="n">
        <v>333333.3333333333</v>
      </c>
      <c r="G36" s="2" t="inlineStr">
        <is>
          <t>16/17</t>
        </is>
      </c>
      <c r="H36" s="2" t="inlineStr">
        <is>
          <t>Россия, Москва, улица Декабристов, 10к1</t>
        </is>
      </c>
      <c r="I36" s="6" t="inlineStr">
        <is>
          <t>https://www.ogrk-center.ru/estate/390145/</t>
        </is>
      </c>
    </row>
    <row r="37">
      <c r="A37" s="2" t="inlineStr">
        <is>
          <t>да</t>
        </is>
      </c>
      <c r="B37" s="2" t="inlineStr">
        <is>
          <t>тот же город</t>
        </is>
      </c>
      <c r="C37" s="3" t="n">
        <v>-16.1</v>
      </c>
      <c r="D37" s="4" t="n">
        <v>12150000</v>
      </c>
      <c r="E37" s="5" t="n">
        <v>37</v>
      </c>
      <c r="F37" s="4" t="n">
        <v>328378.3783783784</v>
      </c>
      <c r="G37" s="2" t="inlineStr">
        <is>
          <t>2/30</t>
        </is>
      </c>
      <c r="H37" s="2" t="inlineStr">
        <is>
          <t>Россия, Москва, улица Намёткина, 10Д</t>
        </is>
      </c>
      <c r="I37" s="6" t="inlineStr">
        <is>
          <t>https://realty.yandex.ru/offer/5583053175280978897</t>
        </is>
      </c>
    </row>
    <row r="38">
      <c r="A38" s="2" t="inlineStr">
        <is>
          <t>да</t>
        </is>
      </c>
      <c r="B38" s="2" t="inlineStr">
        <is>
          <t>тот же город</t>
        </is>
      </c>
      <c r="C38" s="3" t="n">
        <v>-16.3</v>
      </c>
      <c r="D38" s="4" t="n">
        <v>43291080</v>
      </c>
      <c r="E38" s="5" t="n">
        <v>36.9</v>
      </c>
      <c r="F38" s="4" t="n">
        <v>1173200</v>
      </c>
      <c r="G38" s="2" t="inlineStr">
        <is>
          <t>13/36</t>
        </is>
      </c>
      <c r="H38" s="2" t="inlineStr">
        <is>
          <t>Россия, Москва, Ленинградский проспект, вл8</t>
        </is>
      </c>
      <c r="I38" s="6" t="inlineStr">
        <is>
          <t>https://realty.yandex.ru/offer/1052883276021698581</t>
        </is>
      </c>
    </row>
    <row r="39">
      <c r="A39" s="2" t="inlineStr">
        <is>
          <t>да</t>
        </is>
      </c>
      <c r="B39" s="2" t="inlineStr">
        <is>
          <t>тот же город</t>
        </is>
      </c>
      <c r="C39" s="3" t="n">
        <v>-17</v>
      </c>
      <c r="D39" s="4" t="n">
        <v>31900000</v>
      </c>
      <c r="E39" s="5" t="n">
        <v>36.6</v>
      </c>
      <c r="F39" s="4" t="n">
        <v>871584.6994535519</v>
      </c>
      <c r="G39" s="2" t="inlineStr">
        <is>
          <t>6/21</t>
        </is>
      </c>
      <c r="H39" s="2" t="inlineStr">
        <is>
          <t>Россия, Москва, ЖК Дом А</t>
        </is>
      </c>
      <c r="I39" s="6" t="inlineStr">
        <is>
          <t>https://moskva.brusnika.ru/flat/50274/</t>
        </is>
      </c>
    </row>
    <row r="40">
      <c r="A40" s="2" t="inlineStr">
        <is>
          <t>да</t>
        </is>
      </c>
      <c r="B40" s="2" t="inlineStr">
        <is>
          <t>тот же город</t>
        </is>
      </c>
      <c r="C40" s="3" t="n">
        <v>-18.1</v>
      </c>
      <c r="D40" s="4" t="n">
        <v>13600000</v>
      </c>
      <c r="E40" s="5" t="n">
        <v>36.1</v>
      </c>
      <c r="F40" s="4" t="n">
        <v>376731.3019390582</v>
      </c>
      <c r="G40" s="2" t="inlineStr">
        <is>
          <t>5/9</t>
        </is>
      </c>
      <c r="H40" s="2" t="inlineStr">
        <is>
          <t>Россия, Москва, Коломенский проезд, 23к2</t>
        </is>
      </c>
      <c r="I40" s="6" t="inlineStr">
        <is>
          <t>https://realty.yandex.ru/offer/6086360028874966272</t>
        </is>
      </c>
    </row>
    <row r="41">
      <c r="A41" s="2" t="inlineStr">
        <is>
          <t>да</t>
        </is>
      </c>
      <c r="B41" s="2" t="inlineStr">
        <is>
          <t>тот же город</t>
        </is>
      </c>
      <c r="C41" s="3" t="n">
        <v>-18.6</v>
      </c>
      <c r="D41" s="4" t="n">
        <v>46562300</v>
      </c>
      <c r="E41" s="5" t="n">
        <v>35.9</v>
      </c>
      <c r="F41" s="4" t="n">
        <v>1297000</v>
      </c>
      <c r="G41" s="2" t="inlineStr">
        <is>
          <t>16/48</t>
        </is>
      </c>
      <c r="H41" s="2" t="inlineStr">
        <is>
          <t>Россия, Москва, ЖК Начало</t>
        </is>
      </c>
      <c r="I41" s="6" t="inlineStr">
        <is>
          <t>https://donstroy.moscow/objects/Начало/plans/quarter1/korpus7/section1/floor16/flat360207173</t>
        </is>
      </c>
    </row>
    <row r="42">
      <c r="A42" s="2" t="inlineStr">
        <is>
          <t>да</t>
        </is>
      </c>
      <c r="B42" s="2" t="inlineStr">
        <is>
          <t>тот же город</t>
        </is>
      </c>
      <c r="C42" s="3" t="n">
        <v>18.6</v>
      </c>
      <c r="D42" s="4" t="n">
        <v>14000000</v>
      </c>
      <c r="E42" s="5" t="n">
        <v>52.3</v>
      </c>
      <c r="F42" s="4" t="n">
        <v>267686.4244741874</v>
      </c>
      <c r="G42" s="2" t="inlineStr">
        <is>
          <t>6/25</t>
        </is>
      </c>
      <c r="H42" s="2" t="inlineStr">
        <is>
          <t>Россия, Московская область, Люберцы, улица 8 Марта, 48</t>
        </is>
      </c>
      <c r="I42" s="6" t="inlineStr">
        <is>
          <t>https://realty.yandex.ru/offer/4311215184128733829</t>
        </is>
      </c>
    </row>
    <row r="43">
      <c r="A43" s="2" t="inlineStr">
        <is>
          <t>да</t>
        </is>
      </c>
      <c r="B43" s="2" t="inlineStr">
        <is>
          <t>тот же город</t>
        </is>
      </c>
      <c r="C43" s="3" t="n">
        <v>19.3</v>
      </c>
      <c r="D43" s="4" t="n">
        <v>21500000</v>
      </c>
      <c r="E43" s="5" t="n">
        <v>52.6</v>
      </c>
      <c r="F43" s="4" t="n">
        <v>408745.2471482889</v>
      </c>
      <c r="G43" s="2" t="inlineStr">
        <is>
          <t>12/12</t>
        </is>
      </c>
      <c r="H43" s="2" t="inlineStr">
        <is>
          <t>Россия, Москва, Ленинградский проспект, 33А</t>
        </is>
      </c>
      <c r="I43" s="6" t="inlineStr">
        <is>
          <t>https://realty.yandex.ru/offer/5080059205004708466</t>
        </is>
      </c>
    </row>
    <row r="44">
      <c r="A44" s="2" t="inlineStr">
        <is>
          <t>да</t>
        </is>
      </c>
      <c r="B44" s="2" t="inlineStr">
        <is>
          <t>тот же город</t>
        </is>
      </c>
      <c r="C44" s="3" t="n">
        <v>-19.5</v>
      </c>
      <c r="D44" s="4" t="n">
        <v>26152850</v>
      </c>
      <c r="E44" s="5" t="n">
        <v>35.5</v>
      </c>
      <c r="F44" s="4" t="n">
        <v>736700</v>
      </c>
      <c r="G44" s="2" t="inlineStr">
        <is>
          <t>19/27</t>
        </is>
      </c>
      <c r="H44" s="2" t="inlineStr">
        <is>
          <t>Россия, Москва, улица Обручева, 27к2</t>
        </is>
      </c>
      <c r="I44" s="6" t="inlineStr">
        <is>
          <t>https://tatum.forma.ru/flat/1051443</t>
        </is>
      </c>
    </row>
    <row r="45">
      <c r="A45" s="2" t="inlineStr">
        <is>
          <t>да</t>
        </is>
      </c>
      <c r="B45" s="2" t="inlineStr">
        <is>
          <t>тот же город</t>
        </is>
      </c>
      <c r="C45" s="3" t="n">
        <v>20.2</v>
      </c>
      <c r="D45" s="4" t="n">
        <v>40619200</v>
      </c>
      <c r="E45" s="5" t="n">
        <v>53</v>
      </c>
      <c r="F45" s="4" t="n">
        <v>766400</v>
      </c>
      <c r="G45" s="2" t="inlineStr">
        <is>
          <t>7/8</t>
        </is>
      </c>
      <c r="H45" s="2" t="inlineStr">
        <is>
          <t>Россия, Москва, Северный административный округ, район Аэропорт, ЖК Соул, к6</t>
        </is>
      </c>
      <c r="I45" s="6" t="inlineStr">
        <is>
          <t>https://soul.forma.ru/flat/932445</t>
        </is>
      </c>
    </row>
    <row r="46">
      <c r="A46" s="2" t="inlineStr">
        <is>
          <t>да</t>
        </is>
      </c>
      <c r="B46" s="2" t="inlineStr">
        <is>
          <t>тот же город</t>
        </is>
      </c>
      <c r="C46" s="3" t="n">
        <v>-20.6</v>
      </c>
      <c r="D46" s="4" t="n">
        <v>31912650</v>
      </c>
      <c r="E46" s="5" t="n">
        <v>35</v>
      </c>
      <c r="F46" s="4" t="n">
        <v>911790</v>
      </c>
      <c r="G46" s="2" t="inlineStr">
        <is>
          <t>12/55</t>
        </is>
      </c>
      <c r="H46" s="2" t="inlineStr">
        <is>
          <t>Россия, Москва, ЖК Айс Тауэрс</t>
        </is>
      </c>
      <c r="I46" s="6" t="inlineStr">
        <is>
          <t>https://ice-towers.ru/flats/1-komnatnaya-kvartira-35m-1208</t>
        </is>
      </c>
    </row>
    <row r="47">
      <c r="A47" s="2" t="inlineStr">
        <is>
          <t>да</t>
        </is>
      </c>
      <c r="B47" s="2" t="inlineStr">
        <is>
          <t>тот же город</t>
        </is>
      </c>
      <c r="C47" s="3" t="n">
        <v>-20.6</v>
      </c>
      <c r="D47" s="4" t="n">
        <v>48846000</v>
      </c>
      <c r="E47" s="5" t="n">
        <v>35</v>
      </c>
      <c r="F47" s="4" t="n">
        <v>1395600</v>
      </c>
      <c r="G47" s="2" t="inlineStr">
        <is>
          <t>52/90</t>
        </is>
      </c>
      <c r="H47" s="2" t="inlineStr">
        <is>
          <t>Россия, Москва, 1-й Красногвардейский проезд, 13</t>
        </is>
      </c>
      <c r="I47" s="6" t="inlineStr">
        <is>
          <t>https://realty.yandex.ru/offer/5348750664427149962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16" customWidth="1" min="4" max="4"/>
    <col width="22" customWidth="1" min="5" max="5"/>
    <col width="16" customWidth="1" min="6" max="6"/>
    <col width="24" customWidth="1" min="7" max="7"/>
    <col width="12" customWidth="1" min="8" max="8"/>
  </cols>
  <sheetData>
    <row r="1">
      <c r="A1" s="7" t="inlineStr">
        <is>
          <t>Расчёт стоимости объекта сравнительным подходом</t>
        </is>
      </c>
    </row>
    <row r="3">
      <c r="A3" s="8" t="inlineStr">
        <is>
          <t>Кадастровый номер</t>
        </is>
      </c>
      <c r="B3" t="inlineStr">
        <is>
          <t>77:07:0013002:4537</t>
        </is>
      </c>
    </row>
    <row r="4">
      <c r="A4" s="8" t="inlineStr">
        <is>
          <t>Адрес</t>
        </is>
      </c>
      <c r="B4" t="inlineStr">
        <is>
          <t>Российская Федерация, город Москва, вн.тер.г. муниципальный округ Раменки, улица Лобачевского, дом 118, корпус 5, квартира 94</t>
        </is>
      </c>
    </row>
    <row r="5">
      <c r="A5" s="8" t="inlineStr">
        <is>
          <t>Площадь объекта, кв. м</t>
        </is>
      </c>
      <c r="B5" s="9" t="n">
        <v>44.1</v>
      </c>
    </row>
    <row r="6">
      <c r="A6" s="8" t="inlineStr">
        <is>
          <t>Кадастровая стоимость</t>
        </is>
      </c>
      <c r="B6" s="10" t="n">
        <v>12580412.29</v>
      </c>
    </row>
    <row r="8">
      <c r="A8" s="1" t="inlineStr">
        <is>
          <t>№</t>
        </is>
      </c>
      <c r="B8" s="1" t="inlineStr">
        <is>
          <t>Адрес аналога</t>
        </is>
      </c>
      <c r="C8" s="1" t="inlineStr">
        <is>
          <t>Цена, руб.</t>
        </is>
      </c>
      <c r="D8" s="1" t="inlineStr">
        <is>
          <t>Площадь, кв. м</t>
        </is>
      </c>
      <c r="E8" s="1" t="inlineStr">
        <is>
          <t>Цена за кв. м, руб.</t>
        </is>
      </c>
      <c r="F8" s="1" t="inlineStr">
        <is>
          <t>Корректировка, %</t>
        </is>
      </c>
      <c r="G8" s="1" t="inlineStr">
        <is>
          <t>Скорректированная цена за кв. м, руб.</t>
        </is>
      </c>
      <c r="H8" s="1" t="inlineStr">
        <is>
          <t>Вес аналога</t>
        </is>
      </c>
    </row>
    <row r="9">
      <c r="A9" s="2" t="n">
        <v>1</v>
      </c>
      <c r="B9" s="2" t="inlineStr">
        <is>
          <t>Россия, Москва, ЖК Мастерс</t>
        </is>
      </c>
      <c r="C9" s="4" t="n">
        <v>44224400</v>
      </c>
      <c r="D9" s="5" t="n">
        <v>44</v>
      </c>
      <c r="E9" s="4">
        <f>C9/D9</f>
        <v/>
      </c>
      <c r="F9" s="3" t="n">
        <v>0</v>
      </c>
      <c r="G9" s="4">
        <f>E9*(1+F9/100)</f>
        <v/>
      </c>
      <c r="H9" s="11" t="n">
        <v>1</v>
      </c>
    </row>
    <row r="10">
      <c r="A10" s="2" t="n">
        <v>2</v>
      </c>
      <c r="B10" s="2" t="inlineStr">
        <is>
          <t>Россия, Москва, Есенинский бульвар, 3</t>
        </is>
      </c>
      <c r="C10" s="4" t="n">
        <v>18299900</v>
      </c>
      <c r="D10" s="5" t="n">
        <v>44</v>
      </c>
      <c r="E10" s="4">
        <f>C10/D10</f>
        <v/>
      </c>
      <c r="F10" s="3" t="n">
        <v>0</v>
      </c>
      <c r="G10" s="4">
        <f>E10*(1+F10/100)</f>
        <v/>
      </c>
      <c r="H10" s="11" t="n">
        <v>1</v>
      </c>
    </row>
    <row r="11">
      <c r="A11" s="2" t="n">
        <v>3</v>
      </c>
      <c r="B11" s="2" t="inlineStr">
        <is>
          <t>Россия, Москва, Октябрьская улица, 11</t>
        </is>
      </c>
      <c r="C11" s="4" t="n">
        <v>22200000</v>
      </c>
      <c r="D11" s="5" t="n">
        <v>44</v>
      </c>
      <c r="E11" s="4">
        <f>C11/D11</f>
        <v/>
      </c>
      <c r="F11" s="3" t="n">
        <v>0</v>
      </c>
      <c r="G11" s="4">
        <f>E11*(1+F11/100)</f>
        <v/>
      </c>
      <c r="H11" s="11" t="n">
        <v>1</v>
      </c>
    </row>
    <row r="12">
      <c r="A12" s="2" t="n">
        <v>4</v>
      </c>
      <c r="B12" s="2" t="inlineStr">
        <is>
          <t>Россия, Москва, Щербаковская улица, 5</t>
        </is>
      </c>
      <c r="C12" s="4" t="n">
        <v>17000000</v>
      </c>
      <c r="D12" s="5" t="n">
        <v>43.4</v>
      </c>
      <c r="E12" s="4">
        <f>C12/D12</f>
        <v/>
      </c>
      <c r="F12" s="3" t="n">
        <v>0</v>
      </c>
      <c r="G12" s="4">
        <f>E12*(1+F12/100)</f>
        <v/>
      </c>
      <c r="H12" s="11" t="n">
        <v>1</v>
      </c>
    </row>
    <row r="13">
      <c r="A13" s="2" t="n">
        <v>5</v>
      </c>
      <c r="B13" s="2" t="inlineStr">
        <is>
          <t>Россия, Москва, Старый Петровско-Разумовский проезд, 1</t>
        </is>
      </c>
      <c r="C13" s="4" t="n">
        <v>25881292</v>
      </c>
      <c r="D13" s="5" t="n">
        <v>43.2</v>
      </c>
      <c r="E13" s="4">
        <f>C13/D13</f>
        <v/>
      </c>
      <c r="F13" s="3" t="n">
        <v>0</v>
      </c>
      <c r="G13" s="4">
        <f>E13*(1+F13/100)</f>
        <v/>
      </c>
      <c r="H13" s="11" t="n">
        <v>1</v>
      </c>
    </row>
    <row r="14">
      <c r="A14" s="2" t="n">
        <v>6</v>
      </c>
      <c r="B14" s="2" t="inlineStr">
        <is>
          <t>Россия, Москва, Рязанский проспект, 80к3</t>
        </is>
      </c>
      <c r="C14" s="4" t="n">
        <v>15150000</v>
      </c>
      <c r="D14" s="5" t="n">
        <v>45</v>
      </c>
      <c r="E14" s="4">
        <f>C14/D14</f>
        <v/>
      </c>
      <c r="F14" s="3" t="n">
        <v>0</v>
      </c>
      <c r="G14" s="4">
        <f>E14*(1+F14/100)</f>
        <v/>
      </c>
      <c r="H14" s="11" t="n">
        <v>1</v>
      </c>
    </row>
    <row r="15">
      <c r="A15" s="2" t="n">
        <v>7</v>
      </c>
      <c r="B15" s="2" t="inlineStr">
        <is>
          <t>Россия, Москва, Юго-Восточный административный округ, район Лефортово, ЖК Символ</t>
        </is>
      </c>
      <c r="C15" s="4" t="n">
        <v>25514800</v>
      </c>
      <c r="D15" s="5" t="n">
        <v>45.4</v>
      </c>
      <c r="E15" s="4">
        <f>C15/D15</f>
        <v/>
      </c>
      <c r="F15" s="3" t="n">
        <v>0</v>
      </c>
      <c r="G15" s="4">
        <f>E15*(1+F15/100)</f>
        <v/>
      </c>
      <c r="H15" s="11" t="n">
        <v>1</v>
      </c>
    </row>
    <row r="16">
      <c r="A16" s="2" t="n">
        <v>8</v>
      </c>
      <c r="B16" s="2" t="inlineStr">
        <is>
          <t>Россия, Москва, Базовская улица, 15Бк2</t>
        </is>
      </c>
      <c r="C16" s="4" t="n">
        <v>21800000</v>
      </c>
      <c r="D16" s="5" t="n">
        <v>45.5</v>
      </c>
      <c r="E16" s="4">
        <f>C16/D16</f>
        <v/>
      </c>
      <c r="F16" s="3" t="n">
        <v>0</v>
      </c>
      <c r="G16" s="4">
        <f>E16*(1+F16/100)</f>
        <v/>
      </c>
      <c r="H16" s="11" t="n">
        <v>1</v>
      </c>
    </row>
    <row r="17">
      <c r="A17" s="2" t="n">
        <v>9</v>
      </c>
      <c r="B17" s="2" t="inlineStr">
        <is>
          <t>Россия, Москва, улица Миклухо-Маклая, 23</t>
        </is>
      </c>
      <c r="C17" s="4" t="n">
        <v>27816000</v>
      </c>
      <c r="D17" s="5" t="n">
        <v>45.6</v>
      </c>
      <c r="E17" s="4">
        <f>C17/D17</f>
        <v/>
      </c>
      <c r="F17" s="3" t="n">
        <v>0</v>
      </c>
      <c r="G17" s="4">
        <f>E17*(1+F17/100)</f>
        <v/>
      </c>
      <c r="H17" s="11" t="n">
        <v>1</v>
      </c>
    </row>
    <row r="18">
      <c r="A18" s="2" t="n">
        <v>10</v>
      </c>
      <c r="B18" s="2" t="inlineStr">
        <is>
          <t>Россия, Москва, улица Миклухо-Маклая, 23</t>
        </is>
      </c>
      <c r="C18" s="4" t="n">
        <v>27420000</v>
      </c>
      <c r="D18" s="5" t="n">
        <v>45.7</v>
      </c>
      <c r="E18" s="4">
        <f>C18/D18</f>
        <v/>
      </c>
      <c r="F18" s="3" t="n">
        <v>0</v>
      </c>
      <c r="G18" s="4">
        <f>E18*(1+F18/100)</f>
        <v/>
      </c>
      <c r="H18" s="11" t="n">
        <v>1</v>
      </c>
    </row>
    <row r="19">
      <c r="A19" s="2" t="n">
        <v>11</v>
      </c>
      <c r="B19" s="2" t="inlineStr">
        <is>
          <t>Россия, Москва, Потешная улица, вл5с2</t>
        </is>
      </c>
      <c r="C19" s="4" t="n">
        <v>18330060</v>
      </c>
      <c r="D19" s="5" t="n">
        <v>45.94</v>
      </c>
      <c r="E19" s="4">
        <f>C19/D19</f>
        <v/>
      </c>
      <c r="F19" s="3" t="n">
        <v>0</v>
      </c>
      <c r="G19" s="4">
        <f>E19*(1+F19/100)</f>
        <v/>
      </c>
      <c r="H19" s="11" t="n">
        <v>1</v>
      </c>
    </row>
    <row r="20">
      <c r="A20" s="2" t="n">
        <v>12</v>
      </c>
      <c r="B20" s="2" t="inlineStr">
        <is>
          <t>Россия, Москва, улица Академика Павлова, 21к2</t>
        </is>
      </c>
      <c r="C20" s="4" t="n">
        <v>16800000</v>
      </c>
      <c r="D20" s="5" t="n">
        <v>46</v>
      </c>
      <c r="E20" s="4">
        <f>C20/D20</f>
        <v/>
      </c>
      <c r="F20" s="3" t="n">
        <v>0</v>
      </c>
      <c r="G20" s="4">
        <f>E20*(1+F20/100)</f>
        <v/>
      </c>
      <c r="H20" s="11" t="n">
        <v>1</v>
      </c>
    </row>
    <row r="21">
      <c r="A21" s="2" t="n">
        <v>13</v>
      </c>
      <c r="B21" s="2" t="inlineStr">
        <is>
          <t>Россия, Москва, Северо-Западный административный округ, район Покровское-Стрешнево, жилой комплекс Клубный Город на Реке Примавера</t>
        </is>
      </c>
      <c r="C21" s="4" t="n">
        <v>32740660</v>
      </c>
      <c r="D21" s="5" t="n">
        <v>41.9</v>
      </c>
      <c r="E21" s="4">
        <f>C21/D21</f>
        <v/>
      </c>
      <c r="F21" s="3" t="n">
        <v>0</v>
      </c>
      <c r="G21" s="4">
        <f>E21*(1+F21/100)</f>
        <v/>
      </c>
      <c r="H21" s="11" t="n">
        <v>1</v>
      </c>
    </row>
    <row r="22">
      <c r="A22" s="2" t="n">
        <v>14</v>
      </c>
      <c r="B22" s="2" t="inlineStr">
        <is>
          <t>Россия, Москва, Можайское шоссе, 22</t>
        </is>
      </c>
      <c r="C22" s="4" t="n">
        <v>14200000</v>
      </c>
      <c r="D22" s="5" t="n">
        <v>46.5</v>
      </c>
      <c r="E22" s="4">
        <f>C22/D22</f>
        <v/>
      </c>
      <c r="F22" s="3" t="n">
        <v>0</v>
      </c>
      <c r="G22" s="4">
        <f>E22*(1+F22/100)</f>
        <v/>
      </c>
      <c r="H22" s="11" t="n">
        <v>1</v>
      </c>
    </row>
    <row r="23">
      <c r="A23" s="2" t="n">
        <v>15</v>
      </c>
      <c r="B23" s="2" t="inlineStr">
        <is>
          <t>Россия, Москва, ЖК Ультима Сити</t>
        </is>
      </c>
      <c r="C23" s="4" t="n">
        <v>25286340</v>
      </c>
      <c r="D23" s="5" t="n">
        <v>46.74</v>
      </c>
      <c r="E23" s="4">
        <f>C23/D23</f>
        <v/>
      </c>
      <c r="F23" s="3" t="n">
        <v>0</v>
      </c>
      <c r="G23" s="4">
        <f>E23*(1+F23/100)</f>
        <v/>
      </c>
      <c r="H23" s="11" t="n">
        <v>1</v>
      </c>
    </row>
    <row r="24">
      <c r="A24" s="2" t="n">
        <v>16</v>
      </c>
      <c r="B24" s="2" t="inlineStr">
        <is>
          <t>Россия, Москва, Большая Семёновская улица, 45</t>
        </is>
      </c>
      <c r="C24" s="4" t="n">
        <v>9999999</v>
      </c>
      <c r="D24" s="5" t="n">
        <v>41.2</v>
      </c>
      <c r="E24" s="4">
        <f>C24/D24</f>
        <v/>
      </c>
      <c r="F24" s="3" t="n">
        <v>0</v>
      </c>
      <c r="G24" s="4">
        <f>E24*(1+F24/100)</f>
        <v/>
      </c>
      <c r="H24" s="11" t="n">
        <v>1</v>
      </c>
    </row>
    <row r="25">
      <c r="A25" s="2" t="n">
        <v>17</v>
      </c>
      <c r="B25" s="2" t="inlineStr">
        <is>
          <t>Россия, Москва, Северный административный округ, район Аэропорт</t>
        </is>
      </c>
      <c r="C25" s="4" t="n">
        <v>43692600</v>
      </c>
      <c r="D25" s="5" t="n">
        <v>41.2</v>
      </c>
      <c r="E25" s="4">
        <f>C25/D25</f>
        <v/>
      </c>
      <c r="F25" s="3" t="n">
        <v>0</v>
      </c>
      <c r="G25" s="4">
        <f>E25*(1+F25/100)</f>
        <v/>
      </c>
      <c r="H25" s="11" t="n">
        <v>1</v>
      </c>
    </row>
    <row r="26">
      <c r="A26" s="2" t="n">
        <v>18</v>
      </c>
      <c r="B26" s="2" t="inlineStr">
        <is>
          <t>Россия, Москва, Чертановская улица, 50к1</t>
        </is>
      </c>
      <c r="C26" s="4" t="n">
        <v>18950000</v>
      </c>
      <c r="D26" s="5" t="n">
        <v>47</v>
      </c>
      <c r="E26" s="4">
        <f>C26/D26</f>
        <v/>
      </c>
      <c r="F26" s="3" t="n">
        <v>0</v>
      </c>
      <c r="G26" s="4">
        <f>E26*(1+F26/100)</f>
        <v/>
      </c>
      <c r="H26" s="11" t="n">
        <v>1</v>
      </c>
    </row>
    <row r="27">
      <c r="A27" s="2" t="n">
        <v>19</v>
      </c>
      <c r="B27" s="2" t="inlineStr">
        <is>
          <t>Россия, Москва, улица Намёткина, 10</t>
        </is>
      </c>
      <c r="C27" s="4" t="n">
        <v>20147220</v>
      </c>
      <c r="D27" s="5" t="n">
        <v>41.1</v>
      </c>
      <c r="E27" s="4">
        <f>C27/D27</f>
        <v/>
      </c>
      <c r="F27" s="3" t="n">
        <v>0</v>
      </c>
      <c r="G27" s="4">
        <f>E27*(1+F27/100)</f>
        <v/>
      </c>
      <c r="H27" s="11" t="n">
        <v>1</v>
      </c>
    </row>
    <row r="28">
      <c r="A28" s="2" t="n">
        <v>20</v>
      </c>
      <c r="B28" s="2" t="inlineStr">
        <is>
          <t>Россия, Московская область, Одинцовский городской округ, посёлок городского типа Новоивановское, Овражная улица, 47А</t>
        </is>
      </c>
      <c r="C28" s="4" t="n">
        <v>9000000</v>
      </c>
      <c r="D28" s="5" t="n">
        <v>41.1</v>
      </c>
      <c r="E28" s="4">
        <f>C28/D28</f>
        <v/>
      </c>
      <c r="F28" s="3" t="n">
        <v>0</v>
      </c>
      <c r="G28" s="4">
        <f>E28*(1+F28/100)</f>
        <v/>
      </c>
      <c r="H28" s="11" t="n">
        <v>1</v>
      </c>
    </row>
    <row r="29">
      <c r="A29" s="2" t="n">
        <v>21</v>
      </c>
      <c r="B29" s="2" t="inlineStr">
        <is>
          <t>Россия, Москва, Волгоградский проспект, 9с1</t>
        </is>
      </c>
      <c r="C29" s="4" t="n">
        <v>17000000</v>
      </c>
      <c r="D29" s="5" t="n">
        <v>41</v>
      </c>
      <c r="E29" s="4">
        <f>C29/D29</f>
        <v/>
      </c>
      <c r="F29" s="3" t="n">
        <v>0</v>
      </c>
      <c r="G29" s="4">
        <f>E29*(1+F29/100)</f>
        <v/>
      </c>
      <c r="H29" s="11" t="n">
        <v>1</v>
      </c>
    </row>
    <row r="30">
      <c r="A30" s="2" t="n">
        <v>22</v>
      </c>
      <c r="B30" s="2" t="inlineStr">
        <is>
          <t>Россия, Москва, Полковая улица, 1к1</t>
        </is>
      </c>
      <c r="C30" s="4" t="n">
        <v>35042820</v>
      </c>
      <c r="D30" s="5" t="n">
        <v>47.4</v>
      </c>
      <c r="E30" s="4">
        <f>C30/D30</f>
        <v/>
      </c>
      <c r="F30" s="3" t="n">
        <v>0</v>
      </c>
      <c r="G30" s="4">
        <f>E30*(1+F30/100)</f>
        <v/>
      </c>
      <c r="H30" s="11" t="n">
        <v>1</v>
      </c>
    </row>
    <row r="31">
      <c r="A31" s="2" t="n">
        <v>23</v>
      </c>
      <c r="B31" s="2" t="inlineStr">
        <is>
          <t>Россия, Москва, ЖК Мангазея на Речном</t>
        </is>
      </c>
      <c r="C31" s="4" t="n">
        <v>27901580</v>
      </c>
      <c r="D31" s="5" t="n">
        <v>40.1</v>
      </c>
      <c r="E31" s="4">
        <f>C31/D31</f>
        <v/>
      </c>
      <c r="F31" s="3" t="n">
        <v>0</v>
      </c>
      <c r="G31" s="4">
        <f>E31*(1+F31/100)</f>
        <v/>
      </c>
      <c r="H31" s="11" t="n">
        <v>1</v>
      </c>
    </row>
    <row r="32">
      <c r="A32" s="2" t="n">
        <v>24</v>
      </c>
      <c r="B32" s="2" t="inlineStr">
        <is>
          <t>Россия, Москва, улица 800-летия Москвы, 11к5</t>
        </is>
      </c>
      <c r="C32" s="4" t="n">
        <v>15990000</v>
      </c>
      <c r="D32" s="5" t="n">
        <v>39.2</v>
      </c>
      <c r="E32" s="4">
        <f>C32/D32</f>
        <v/>
      </c>
      <c r="F32" s="3" t="n">
        <v>0</v>
      </c>
      <c r="G32" s="4">
        <f>E32*(1+F32/100)</f>
        <v/>
      </c>
      <c r="H32" s="11" t="n">
        <v>1</v>
      </c>
    </row>
    <row r="33">
      <c r="A33" s="2" t="n">
        <v>25</v>
      </c>
      <c r="B33" s="2" t="inlineStr">
        <is>
          <t>Россия, Москва, Алтуфьевское шоссе, 85А</t>
        </is>
      </c>
      <c r="C33" s="4" t="n">
        <v>15200000</v>
      </c>
      <c r="D33" s="5" t="n">
        <v>39.1</v>
      </c>
      <c r="E33" s="4">
        <f>C33/D33</f>
        <v/>
      </c>
      <c r="F33" s="3" t="n">
        <v>0</v>
      </c>
      <c r="G33" s="4">
        <f>E33*(1+F33/100)</f>
        <v/>
      </c>
      <c r="H33" s="11" t="n">
        <v>1</v>
      </c>
    </row>
    <row r="34">
      <c r="A34" s="2" t="n">
        <v>26</v>
      </c>
      <c r="B34" s="2" t="inlineStr">
        <is>
          <t>Россия, Москва, Новомосковский административный округ, Филимонковский район, Московский, жилой комплекс Первый Московский, 9-я фаза, к3</t>
        </is>
      </c>
      <c r="C34" s="4" t="n">
        <v>14070859</v>
      </c>
      <c r="D34" s="5" t="n">
        <v>38.9</v>
      </c>
      <c r="E34" s="4">
        <f>C34/D34</f>
        <v/>
      </c>
      <c r="F34" s="3" t="n">
        <v>0</v>
      </c>
      <c r="G34" s="4">
        <f>E34*(1+F34/100)</f>
        <v/>
      </c>
      <c r="H34" s="11" t="n">
        <v>1</v>
      </c>
    </row>
    <row r="35">
      <c r="A35" s="2" t="n">
        <v>27</v>
      </c>
      <c r="B35" s="2" t="inlineStr">
        <is>
          <t>Россия, Москва, Электролитный проезд, 5Б</t>
        </is>
      </c>
      <c r="C35" s="4" t="n">
        <v>13500000</v>
      </c>
      <c r="D35" s="5" t="n">
        <v>38</v>
      </c>
      <c r="E35" s="4">
        <f>C35/D35</f>
        <v/>
      </c>
      <c r="F35" s="3" t="n">
        <v>0</v>
      </c>
      <c r="G35" s="4">
        <f>E35*(1+F35/100)</f>
        <v/>
      </c>
      <c r="H35" s="11" t="n">
        <v>1</v>
      </c>
    </row>
    <row r="36">
      <c r="A36" s="2" t="n">
        <v>28</v>
      </c>
      <c r="B36" s="2" t="inlineStr">
        <is>
          <t>Россия, Москва, ЖК Остров, 5-й квартал, 3</t>
        </is>
      </c>
      <c r="C36" s="4" t="n">
        <v>24500000</v>
      </c>
      <c r="D36" s="5" t="n">
        <v>38</v>
      </c>
      <c r="E36" s="4">
        <f>C36/D36</f>
        <v/>
      </c>
      <c r="F36" s="3" t="n">
        <v>0</v>
      </c>
      <c r="G36" s="4">
        <f>E36*(1+F36/100)</f>
        <v/>
      </c>
      <c r="H36" s="11" t="n">
        <v>1</v>
      </c>
    </row>
    <row r="37">
      <c r="A37" s="2" t="n">
        <v>29</v>
      </c>
      <c r="B37" s="2" t="inlineStr">
        <is>
          <t>Россия, Москва, Рождественская улица, 15</t>
        </is>
      </c>
      <c r="C37" s="4" t="n">
        <v>13800000</v>
      </c>
      <c r="D37" s="5" t="n">
        <v>38</v>
      </c>
      <c r="E37" s="4">
        <f>C37/D37</f>
        <v/>
      </c>
      <c r="F37" s="3" t="n">
        <v>0</v>
      </c>
      <c r="G37" s="4">
        <f>E37*(1+F37/100)</f>
        <v/>
      </c>
      <c r="H37" s="11" t="n">
        <v>1</v>
      </c>
    </row>
    <row r="38">
      <c r="A38" s="2" t="n">
        <v>30</v>
      </c>
      <c r="B38" s="2" t="inlineStr">
        <is>
          <t>Россия, Москва, улица Климашкина, 7/11</t>
        </is>
      </c>
      <c r="C38" s="4" t="n">
        <v>128010000</v>
      </c>
      <c r="D38" s="5" t="n">
        <v>50.2</v>
      </c>
      <c r="E38" s="4">
        <f>C38/D38</f>
        <v/>
      </c>
      <c r="F38" s="3" t="n">
        <v>0</v>
      </c>
      <c r="G38" s="4">
        <f>E38*(1+F38/100)</f>
        <v/>
      </c>
      <c r="H38" s="11" t="n">
        <v>1</v>
      </c>
    </row>
    <row r="39">
      <c r="A39" s="2" t="n">
        <v>31</v>
      </c>
      <c r="B39" s="2" t="inlineStr">
        <is>
          <t>Россия, Москва, Палехская улица, 147к1</t>
        </is>
      </c>
      <c r="C39" s="4" t="n">
        <v>13999000</v>
      </c>
      <c r="D39" s="5" t="n">
        <v>37.7</v>
      </c>
      <c r="E39" s="4">
        <f>C39/D39</f>
        <v/>
      </c>
      <c r="F39" s="3" t="n">
        <v>0</v>
      </c>
      <c r="G39" s="4">
        <f>E39*(1+F39/100)</f>
        <v/>
      </c>
      <c r="H39" s="11" t="n">
        <v>1</v>
      </c>
    </row>
    <row r="40">
      <c r="A40" s="2" t="n">
        <v>32</v>
      </c>
      <c r="B40" s="2" t="inlineStr">
        <is>
          <t>Россия, Москва, Новомосковский административный округ, район Внуково, улица Льва Кассиля, 1к1</t>
        </is>
      </c>
      <c r="C40" s="4" t="n">
        <v>15460867</v>
      </c>
      <c r="D40" s="5" t="n">
        <v>37.6</v>
      </c>
      <c r="E40" s="4">
        <f>C40/D40</f>
        <v/>
      </c>
      <c r="F40" s="3" t="n">
        <v>0</v>
      </c>
      <c r="G40" s="4">
        <f>E40*(1+F40/100)</f>
        <v/>
      </c>
      <c r="H40" s="11" t="n">
        <v>1</v>
      </c>
    </row>
    <row r="41">
      <c r="A41" s="2" t="n">
        <v>33</v>
      </c>
      <c r="B41" s="2" t="inlineStr">
        <is>
          <t>Россия, Москва, 1-й Кирпичный переулок, 15А</t>
        </is>
      </c>
      <c r="C41" s="4" t="n">
        <v>20920640</v>
      </c>
      <c r="D41" s="5" t="n">
        <v>37.6</v>
      </c>
      <c r="E41" s="4">
        <f>C41/D41</f>
        <v/>
      </c>
      <c r="F41" s="3" t="n">
        <v>0</v>
      </c>
      <c r="G41" s="4">
        <f>E41*(1+F41/100)</f>
        <v/>
      </c>
      <c r="H41" s="11" t="n">
        <v>1</v>
      </c>
    </row>
    <row r="42">
      <c r="A42" s="2" t="n">
        <v>34</v>
      </c>
      <c r="B42" s="2" t="inlineStr">
        <is>
          <t>Россия, Москва, Кутузовский проезд, 16А/1</t>
        </is>
      </c>
      <c r="C42" s="4" t="n">
        <v>49018480</v>
      </c>
      <c r="D42" s="5" t="n">
        <v>37.6</v>
      </c>
      <c r="E42" s="4">
        <f>C42/D42</f>
        <v/>
      </c>
      <c r="F42" s="3" t="n">
        <v>0</v>
      </c>
      <c r="G42" s="4">
        <f>E42*(1+F42/100)</f>
        <v/>
      </c>
      <c r="H42" s="11" t="n">
        <v>1</v>
      </c>
    </row>
    <row r="43">
      <c r="A43" s="2" t="n">
        <v>35</v>
      </c>
      <c r="B43" s="2" t="inlineStr">
        <is>
          <t>Россия, Москва, улица Декабристов, 10к1</t>
        </is>
      </c>
      <c r="C43" s="4" t="n">
        <v>17000000</v>
      </c>
      <c r="D43" s="5" t="n">
        <v>51</v>
      </c>
      <c r="E43" s="4">
        <f>C43/D43</f>
        <v/>
      </c>
      <c r="F43" s="3" t="n">
        <v>0</v>
      </c>
      <c r="G43" s="4">
        <f>E43*(1+F43/100)</f>
        <v/>
      </c>
      <c r="H43" s="11" t="n">
        <v>1</v>
      </c>
    </row>
    <row r="44">
      <c r="A44" s="2" t="n">
        <v>36</v>
      </c>
      <c r="B44" s="2" t="inlineStr">
        <is>
          <t>Россия, Москва, улица Намёткина, 10Д</t>
        </is>
      </c>
      <c r="C44" s="4" t="n">
        <v>12150000</v>
      </c>
      <c r="D44" s="5" t="n">
        <v>37</v>
      </c>
      <c r="E44" s="4">
        <f>C44/D44</f>
        <v/>
      </c>
      <c r="F44" s="3" t="n">
        <v>0</v>
      </c>
      <c r="G44" s="4">
        <f>E44*(1+F44/100)</f>
        <v/>
      </c>
      <c r="H44" s="11" t="n">
        <v>1</v>
      </c>
    </row>
    <row r="45">
      <c r="A45" s="2" t="n">
        <v>37</v>
      </c>
      <c r="B45" s="2" t="inlineStr">
        <is>
          <t>Россия, Москва, Ленинградский проспект, вл8</t>
        </is>
      </c>
      <c r="C45" s="4" t="n">
        <v>43291080</v>
      </c>
      <c r="D45" s="5" t="n">
        <v>36.9</v>
      </c>
      <c r="E45" s="4">
        <f>C45/D45</f>
        <v/>
      </c>
      <c r="F45" s="3" t="n">
        <v>0</v>
      </c>
      <c r="G45" s="4">
        <f>E45*(1+F45/100)</f>
        <v/>
      </c>
      <c r="H45" s="11" t="n">
        <v>1</v>
      </c>
    </row>
    <row r="46">
      <c r="A46" s="2" t="n">
        <v>38</v>
      </c>
      <c r="B46" s="2" t="inlineStr">
        <is>
          <t>Россия, Москва, ЖК Дом А</t>
        </is>
      </c>
      <c r="C46" s="4" t="n">
        <v>31900000</v>
      </c>
      <c r="D46" s="5" t="n">
        <v>36.6</v>
      </c>
      <c r="E46" s="4">
        <f>C46/D46</f>
        <v/>
      </c>
      <c r="F46" s="3" t="n">
        <v>0</v>
      </c>
      <c r="G46" s="4">
        <f>E46*(1+F46/100)</f>
        <v/>
      </c>
      <c r="H46" s="11" t="n">
        <v>1</v>
      </c>
    </row>
    <row r="47">
      <c r="A47" s="2" t="n">
        <v>39</v>
      </c>
      <c r="B47" s="2" t="inlineStr">
        <is>
          <t>Россия, Москва, Коломенский проезд, 23к2</t>
        </is>
      </c>
      <c r="C47" s="4" t="n">
        <v>13600000</v>
      </c>
      <c r="D47" s="5" t="n">
        <v>36.1</v>
      </c>
      <c r="E47" s="4">
        <f>C47/D47</f>
        <v/>
      </c>
      <c r="F47" s="3" t="n">
        <v>0</v>
      </c>
      <c r="G47" s="4">
        <f>E47*(1+F47/100)</f>
        <v/>
      </c>
      <c r="H47" s="11" t="n">
        <v>1</v>
      </c>
    </row>
    <row r="48">
      <c r="A48" s="2" t="n">
        <v>40</v>
      </c>
      <c r="B48" s="2" t="inlineStr">
        <is>
          <t>Россия, Москва, ЖК Начало</t>
        </is>
      </c>
      <c r="C48" s="4" t="n">
        <v>46562300</v>
      </c>
      <c r="D48" s="5" t="n">
        <v>35.9</v>
      </c>
      <c r="E48" s="4">
        <f>C48/D48</f>
        <v/>
      </c>
      <c r="F48" s="3" t="n">
        <v>0</v>
      </c>
      <c r="G48" s="4">
        <f>E48*(1+F48/100)</f>
        <v/>
      </c>
      <c r="H48" s="11" t="n">
        <v>1</v>
      </c>
    </row>
    <row r="49">
      <c r="A49" s="2" t="n">
        <v>41</v>
      </c>
      <c r="B49" s="2" t="inlineStr">
        <is>
          <t>Россия, Московская область, Люберцы, улица 8 Марта, 48</t>
        </is>
      </c>
      <c r="C49" s="4" t="n">
        <v>14000000</v>
      </c>
      <c r="D49" s="5" t="n">
        <v>52.3</v>
      </c>
      <c r="E49" s="4">
        <f>C49/D49</f>
        <v/>
      </c>
      <c r="F49" s="3" t="n">
        <v>0</v>
      </c>
      <c r="G49" s="4">
        <f>E49*(1+F49/100)</f>
        <v/>
      </c>
      <c r="H49" s="11" t="n">
        <v>1</v>
      </c>
    </row>
    <row r="50">
      <c r="A50" s="2" t="n">
        <v>42</v>
      </c>
      <c r="B50" s="2" t="inlineStr">
        <is>
          <t>Россия, Москва, Ленинградский проспект, 33А</t>
        </is>
      </c>
      <c r="C50" s="4" t="n">
        <v>21500000</v>
      </c>
      <c r="D50" s="5" t="n">
        <v>52.6</v>
      </c>
      <c r="E50" s="4">
        <f>C50/D50</f>
        <v/>
      </c>
      <c r="F50" s="3" t="n">
        <v>0</v>
      </c>
      <c r="G50" s="4">
        <f>E50*(1+F50/100)</f>
        <v/>
      </c>
      <c r="H50" s="11" t="n">
        <v>1</v>
      </c>
    </row>
    <row r="51">
      <c r="A51" s="2" t="n">
        <v>43</v>
      </c>
      <c r="B51" s="2" t="inlineStr">
        <is>
          <t>Россия, Москва, улица Обручева, 27к2</t>
        </is>
      </c>
      <c r="C51" s="4" t="n">
        <v>26152850</v>
      </c>
      <c r="D51" s="5" t="n">
        <v>35.5</v>
      </c>
      <c r="E51" s="4">
        <f>C51/D51</f>
        <v/>
      </c>
      <c r="F51" s="3" t="n">
        <v>0</v>
      </c>
      <c r="G51" s="4">
        <f>E51*(1+F51/100)</f>
        <v/>
      </c>
      <c r="H51" s="11" t="n">
        <v>1</v>
      </c>
    </row>
    <row r="52">
      <c r="A52" s="2" t="n">
        <v>44</v>
      </c>
      <c r="B52" s="2" t="inlineStr">
        <is>
          <t>Россия, Москва, Северный административный округ, район Аэропорт, ЖК Соул, к6</t>
        </is>
      </c>
      <c r="C52" s="4" t="n">
        <v>40619200</v>
      </c>
      <c r="D52" s="5" t="n">
        <v>53</v>
      </c>
      <c r="E52" s="4">
        <f>C52/D52</f>
        <v/>
      </c>
      <c r="F52" s="3" t="n">
        <v>0</v>
      </c>
      <c r="G52" s="4">
        <f>E52*(1+F52/100)</f>
        <v/>
      </c>
      <c r="H52" s="11" t="n">
        <v>1</v>
      </c>
    </row>
    <row r="53">
      <c r="A53" s="2" t="n">
        <v>45</v>
      </c>
      <c r="B53" s="2" t="inlineStr">
        <is>
          <t>Россия, Москва, ЖК Айс Тауэрс</t>
        </is>
      </c>
      <c r="C53" s="4" t="n">
        <v>31912650</v>
      </c>
      <c r="D53" s="5" t="n">
        <v>35</v>
      </c>
      <c r="E53" s="4">
        <f>C53/D53</f>
        <v/>
      </c>
      <c r="F53" s="3" t="n">
        <v>0</v>
      </c>
      <c r="G53" s="4">
        <f>E53*(1+F53/100)</f>
        <v/>
      </c>
      <c r="H53" s="11" t="n">
        <v>1</v>
      </c>
    </row>
    <row r="54">
      <c r="A54" s="2" t="n">
        <v>46</v>
      </c>
      <c r="B54" s="2" t="inlineStr">
        <is>
          <t>Россия, Москва, 1-й Красногвардейский проезд, 13</t>
        </is>
      </c>
      <c r="C54" s="4" t="n">
        <v>48846000</v>
      </c>
      <c r="D54" s="5" t="n">
        <v>35</v>
      </c>
      <c r="E54" s="4">
        <f>C54/D54</f>
        <v/>
      </c>
      <c r="F54" s="3" t="n">
        <v>0</v>
      </c>
      <c r="G54" s="4">
        <f>E54*(1+F54/100)</f>
        <v/>
      </c>
      <c r="H54" s="11" t="n">
        <v>1</v>
      </c>
    </row>
    <row r="56">
      <c r="A56" s="12" t="inlineStr">
        <is>
          <t>Средневзвешенная цена за кв. м</t>
        </is>
      </c>
      <c r="G56" s="13">
        <f>IFERROR(SUMPRODUCT(G9:G54,H9:H54)/SUM(H9:H54),"")</f>
        <v/>
      </c>
    </row>
    <row r="57">
      <c r="A57" s="12" t="inlineStr">
        <is>
          <t>Ориентир стоимости объекта</t>
        </is>
      </c>
      <c r="G57" s="13">
        <f>G56*B5</f>
        <v/>
      </c>
    </row>
    <row r="59">
      <c r="A59" s="14" t="inlineStr">
        <is>
          <t>Правьте корректировки в колонке «Корректировка, %» и веса в колонке «Вес аналога» — итоги пересчитаются сами. Корректировка пишется в процентах: −10 означает минус 10 %.</t>
        </is>
      </c>
    </row>
  </sheetData>
  <mergeCells count="2">
    <mergeCell ref="A56:F56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2026-07-25T16:57:48Z</dcterms:created>
  <dcterms:modified xmlns:dcterms="http://purl.org/dc/terms/" xmlns:xsi="http://www.w3.org/2001/XMLSchema-instance" xsi:type="dcterms:W3CDTF">2026-07-25T16:57:48Z</dcterms:modified>
</cp:coreProperties>
</file>