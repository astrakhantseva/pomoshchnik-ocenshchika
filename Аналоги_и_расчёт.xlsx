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оги" sheetId="1" state="visible" r:id="rId1"/>
    <sheet xmlns:r="http://schemas.openxmlformats.org/officeDocument/2006/relationships" name="Рас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0.0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rpro.ru/objects/getbyid.php?external_id=56af5239-94c2-4409-a6ec-e8f8de4faec8" TargetMode="External" Id="rId1"/><Relationship Type="http://schemas.openxmlformats.org/officeDocument/2006/relationships/hyperlink" Target="https://mls-city.ru/prcomm/215_12/130_215_1/" TargetMode="External" Id="rId2"/><Relationship Type="http://schemas.openxmlformats.org/officeDocument/2006/relationships/hyperlink" Target="https://mls-city.ru/prcomm/514_15/709_514_1/" TargetMode="External" Id="rId3"/><Relationship Type="http://schemas.openxmlformats.org/officeDocument/2006/relationships/hyperlink" Target="https://arrpro.ru/objects/getbyid.php?external_id=c0809901-bae2-489f-b727-273912281785" TargetMode="External" Id="rId4"/><Relationship Type="http://schemas.openxmlformats.org/officeDocument/2006/relationships/hyperlink" Target="https://realty.yandex.ru/offer/6035218987068529984" TargetMode="External" Id="rId5"/><Relationship Type="http://schemas.openxmlformats.org/officeDocument/2006/relationships/hyperlink" Target="https://rodnoykrov.ru/object/289/" TargetMode="External" Id="rId6"/><Relationship Type="http://schemas.openxmlformats.org/officeDocument/2006/relationships/hyperlink" Target="https://arrpro.ru/objects/getbyid.php?external_id=4d303e8b-4883-4649-b129-54198295843a" TargetMode="External" Id="rId7"/><Relationship Type="http://schemas.openxmlformats.org/officeDocument/2006/relationships/hyperlink" Target="https://realty.yandex.ru/offer/63027999561318184" TargetMode="External" Id="rId8"/><Relationship Type="http://schemas.openxmlformats.org/officeDocument/2006/relationships/hyperlink" Target="https://realty.yandex.ru/offer/7288260611761479680" TargetMode="External" Id="rId9"/><Relationship Type="http://schemas.openxmlformats.org/officeDocument/2006/relationships/hyperlink" Target="https://realty.yandex.ru/offer/6350934387590104479" TargetMode="External" Id="rId10"/><Relationship Type="http://schemas.openxmlformats.org/officeDocument/2006/relationships/hyperlink" Target="https://mls-city.ru/prcomm/273_4/19024_273_1/" TargetMode="External" Id="rId11"/><Relationship Type="http://schemas.openxmlformats.org/officeDocument/2006/relationships/hyperlink" Target="https://realty.yandex.ru/offer/63028105198236991" TargetMode="External" Id="rId12"/><Relationship Type="http://schemas.openxmlformats.org/officeDocument/2006/relationships/hyperlink" Target="https://mls-city.ru/prcomm/273_53/17285_273_1/" TargetMode="External" Id="rId13"/><Relationship Type="http://schemas.openxmlformats.org/officeDocument/2006/relationships/hyperlink" Target="https://realty.yandex.ru/offer/7540093396469015296" TargetMode="External" Id="rId14"/><Relationship Type="http://schemas.openxmlformats.org/officeDocument/2006/relationships/hyperlink" Target="https://arrpro.ru/objects/getbyid.php?external_id=23c3f688-ecc8-4191-afc5-aca59e817e73" TargetMode="External" Id="rId15"/><Relationship Type="http://schemas.openxmlformats.org/officeDocument/2006/relationships/hyperlink" Target="https://arrpro.ru/objects/getbyid.php?external_id=96adeee7-6d46-4fcf-8a35-d9c99f1e02c7" TargetMode="External" Id="rId16"/><Relationship Type="http://schemas.openxmlformats.org/officeDocument/2006/relationships/hyperlink" Target="https://realty.yandex.ru/offer/3939902066685347056" TargetMode="External" Id="rId17"/><Relationship Type="http://schemas.openxmlformats.org/officeDocument/2006/relationships/hyperlink" Target="https://realty.yandex.ru/offer/6035218990732135837" TargetMode="External" Id="rId18"/><Relationship Type="http://schemas.openxmlformats.org/officeDocument/2006/relationships/hyperlink" Target="https://arrpro.ru/objects/getbyid.php?external_id=bfc50812-e332-44f4-b1ce-6a7fd5c2ad9e" TargetMode="External" Id="rId19"/><Relationship Type="http://schemas.openxmlformats.org/officeDocument/2006/relationships/hyperlink" Target="https://realty.yandex.ru/offer/63028028016012157" TargetMode="External" Id="rId20"/><Relationship Type="http://schemas.openxmlformats.org/officeDocument/2006/relationships/hyperlink" Target="https://mls-city.ru/prcomm/273_147/17335_273_1/" TargetMode="External" Id="rId21"/><Relationship Type="http://schemas.openxmlformats.org/officeDocument/2006/relationships/hyperlink" Target="https://arrpro.ru/objects/getbyid.php?external_id=671c6695-067c-424a-a016-5e658942be40" TargetMode="External" Id="rId22"/><Relationship Type="http://schemas.openxmlformats.org/officeDocument/2006/relationships/hyperlink" Target="https://mls-city.ru/prcomm/130_12/23_130_1/" TargetMode="External" Id="rId23"/><Relationship Type="http://schemas.openxmlformats.org/officeDocument/2006/relationships/hyperlink" Target="https://mls-city.ru/prcomm/514_14/568_514_1/" TargetMode="External" Id="rId24"/><Relationship Type="http://schemas.openxmlformats.org/officeDocument/2006/relationships/hyperlink" Target="https://arrpro.ru/objects/getbyid.php?external_id=9956c60f-0f62-41bb-90af-4cf20a0a434b" TargetMode="External" Id="rId25"/><Relationship Type="http://schemas.openxmlformats.org/officeDocument/2006/relationships/hyperlink" Target="https://arrpro.ru/objects/getbyid.php?external_id=5529ca8a-1de4-4fa9-968f-857c8ab9e561" TargetMode="External" Id="rId26"/><Relationship Type="http://schemas.openxmlformats.org/officeDocument/2006/relationships/hyperlink" Target="https://arrpro.ru/objects/getbyid.php?external_id=3abca84e-cb74-49b0-9f7a-00de7c84381a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3" customWidth="1" min="3" max="3"/>
    <col width="16" customWidth="1" min="4" max="4"/>
    <col width="20" customWidth="1" min="5" max="5"/>
    <col width="20" customWidth="1" min="6" max="6"/>
    <col width="10" customWidth="1" min="7" max="7"/>
    <col width="10" customWidth="1" min="8" max="8"/>
    <col width="42" customWidth="1" min="9" max="9"/>
  </cols>
  <sheetData>
    <row r="1">
      <c r="A1" s="1" t="inlineStr">
        <is>
          <t>Адрес</t>
        </is>
      </c>
      <c r="B1" s="1" t="inlineStr">
        <is>
          <t>Цена, ₽</t>
        </is>
      </c>
      <c r="C1" s="1" t="inlineStr">
        <is>
          <t>Площадь, м²</t>
        </is>
      </c>
      <c r="D1" s="1" t="inlineStr">
        <is>
          <t>Цена за м², ₽</t>
        </is>
      </c>
      <c r="E1" s="1" t="inlineStr">
        <is>
          <t>Отклонение площади, %</t>
        </is>
      </c>
      <c r="F1" s="1" t="inlineStr">
        <is>
          <t>Совпадение адреса</t>
        </is>
      </c>
      <c r="G1" s="1" t="inlineStr">
        <is>
          <t>Этаж</t>
        </is>
      </c>
      <c r="H1" s="1" t="inlineStr">
        <is>
          <t>В расчёт</t>
        </is>
      </c>
      <c r="I1" s="1" t="inlineStr">
        <is>
          <t>Ссылка</t>
        </is>
      </c>
    </row>
    <row r="2">
      <c r="A2" t="inlineStr">
        <is>
          <t>Россия, Самара, посёлок Красная Глинка, 2-й квартал, 13</t>
        </is>
      </c>
      <c r="B2" s="2" t="n">
        <v>4900000</v>
      </c>
      <c r="C2" s="3" t="n">
        <v>60</v>
      </c>
      <c r="D2" s="2" t="n">
        <v>81667</v>
      </c>
      <c r="E2" s="4" t="n">
        <v>0.8</v>
      </c>
      <c r="F2" t="inlineStr">
        <is>
          <t>тот же город</t>
        </is>
      </c>
      <c r="G2" t="inlineStr">
        <is>
          <t>1/2</t>
        </is>
      </c>
      <c r="H2" t="inlineStr">
        <is>
          <t>Да</t>
        </is>
      </c>
      <c r="I2" s="5" t="inlineStr">
        <is>
          <t>https://arrpro.ru/objects/getbyid.php?external_id=56af5239-94c2-4409-a6ec-e8f8de4faec8</t>
        </is>
      </c>
    </row>
    <row r="3">
      <c r="A3" t="inlineStr">
        <is>
          <t>Россия, Самара, Революционная улица, 70лит2</t>
        </is>
      </c>
      <c r="B3" s="2" t="n">
        <v>5091000</v>
      </c>
      <c r="C3" s="3" t="n">
        <v>59.9</v>
      </c>
      <c r="D3" s="2" t="n">
        <v>84992</v>
      </c>
      <c r="E3" s="4" t="n">
        <v>1</v>
      </c>
      <c r="F3" t="inlineStr">
        <is>
          <t>тот же город</t>
        </is>
      </c>
      <c r="G3" t="inlineStr">
        <is>
          <t>1/4</t>
        </is>
      </c>
      <c r="H3" t="inlineStr">
        <is>
          <t>Да</t>
        </is>
      </c>
      <c r="I3" s="5" t="inlineStr">
        <is>
          <t>https://mls-city.ru/prcomm/215_12/130_215_1/</t>
        </is>
      </c>
    </row>
    <row r="4">
      <c r="A4" t="inlineStr">
        <is>
          <t>Россия, Самара, 6-я просека, 148</t>
        </is>
      </c>
      <c r="B4" s="2" t="n">
        <v>7850000</v>
      </c>
      <c r="C4" s="3" t="n">
        <v>59.6</v>
      </c>
      <c r="D4" s="2" t="n">
        <v>131711</v>
      </c>
      <c r="E4" s="4" t="n">
        <v>1.5</v>
      </c>
      <c r="F4" t="inlineStr">
        <is>
          <t>тот же город</t>
        </is>
      </c>
      <c r="G4" t="inlineStr">
        <is>
          <t>1/7</t>
        </is>
      </c>
      <c r="H4" t="inlineStr">
        <is>
          <t>Да</t>
        </is>
      </c>
      <c r="I4" s="5" t="inlineStr">
        <is>
          <t>https://mls-city.ru/prcomm/514_15/709_514_1/</t>
        </is>
      </c>
    </row>
    <row r="5">
      <c r="A5" t="inlineStr">
        <is>
          <t>Россия, Самара, 6-я просека, 148</t>
        </is>
      </c>
      <c r="B5" s="2" t="n">
        <v>7400000</v>
      </c>
      <c r="C5" s="3" t="n">
        <v>59.6</v>
      </c>
      <c r="D5" s="2" t="n">
        <v>124161</v>
      </c>
      <c r="E5" s="4" t="n">
        <v>1.5</v>
      </c>
      <c r="F5" t="inlineStr">
        <is>
          <t>тот же город</t>
        </is>
      </c>
      <c r="G5" t="inlineStr">
        <is>
          <t>1/16</t>
        </is>
      </c>
      <c r="H5" t="inlineStr">
        <is>
          <t>Да</t>
        </is>
      </c>
      <c r="I5" s="5" t="inlineStr">
        <is>
          <t>https://arrpro.ru/objects/getbyid.php?external_id=c0809901-bae2-489f-b727-273912281785</t>
        </is>
      </c>
    </row>
    <row r="6">
      <c r="A6" t="inlineStr">
        <is>
          <t>Россия, Самара, Московское шоссе, 81А</t>
        </is>
      </c>
      <c r="B6" s="2" t="n">
        <v>5270000</v>
      </c>
      <c r="C6" s="3" t="n">
        <v>62</v>
      </c>
      <c r="D6" s="2" t="n">
        <v>85000</v>
      </c>
      <c r="E6" s="4" t="n">
        <v>2.5</v>
      </c>
      <c r="F6" t="inlineStr">
        <is>
          <t>тот же город</t>
        </is>
      </c>
      <c r="G6" t="inlineStr">
        <is>
          <t>4/4</t>
        </is>
      </c>
      <c r="H6" t="inlineStr">
        <is>
          <t>Да</t>
        </is>
      </c>
      <c r="I6" s="5" t="inlineStr">
        <is>
          <t>https://realty.yandex.ru/offer/6035218987068529984</t>
        </is>
      </c>
    </row>
    <row r="7">
      <c r="A7" t="inlineStr">
        <is>
          <t>Россия, Самара, улица Антонова-Овсеенко, 44А</t>
        </is>
      </c>
      <c r="B7" s="2" t="n">
        <v>6300000</v>
      </c>
      <c r="C7" s="3" t="n">
        <v>63.1</v>
      </c>
      <c r="D7" s="2" t="n">
        <v>99842</v>
      </c>
      <c r="E7" s="4" t="n">
        <v>4.3</v>
      </c>
      <c r="F7" t="inlineStr">
        <is>
          <t>тот же город</t>
        </is>
      </c>
      <c r="G7" t="inlineStr">
        <is>
          <t>5/7</t>
        </is>
      </c>
      <c r="H7" t="inlineStr">
        <is>
          <t>Да</t>
        </is>
      </c>
      <c r="I7" s="5" t="inlineStr">
        <is>
          <t>https://rodnoykrov.ru/object/289/</t>
        </is>
      </c>
    </row>
    <row r="8">
      <c r="A8" t="inlineStr">
        <is>
          <t>Россия, Самара, посёлок Красный Пахарь, 29</t>
        </is>
      </c>
      <c r="B8" s="2" t="n">
        <v>1000000</v>
      </c>
      <c r="C8" s="3" t="n">
        <v>64.3</v>
      </c>
      <c r="D8" s="2" t="n">
        <v>15552</v>
      </c>
      <c r="E8" s="4" t="n">
        <v>6.3</v>
      </c>
      <c r="F8" t="inlineStr">
        <is>
          <t>тот же город</t>
        </is>
      </c>
      <c r="G8" t="inlineStr">
        <is>
          <t>1/1</t>
        </is>
      </c>
      <c r="H8" t="inlineStr">
        <is>
          <t>Да</t>
        </is>
      </c>
      <c r="I8" s="5" t="inlineStr">
        <is>
          <t>https://arrpro.ru/objects/getbyid.php?external_id=4d303e8b-4883-4649-b129-54198295843a</t>
        </is>
      </c>
    </row>
    <row r="9">
      <c r="A9" t="inlineStr">
        <is>
          <t>Россия, Самара, улица Куйбышева, 48</t>
        </is>
      </c>
      <c r="B9" s="2" t="n">
        <v>3480000</v>
      </c>
      <c r="C9" s="3" t="n">
        <v>55.9</v>
      </c>
      <c r="D9" s="2" t="n">
        <v>62254</v>
      </c>
      <c r="E9" s="4" t="n">
        <v>7.6</v>
      </c>
      <c r="F9" t="inlineStr">
        <is>
          <t>тот же город</t>
        </is>
      </c>
      <c r="G9" t="inlineStr">
        <is>
          <t>4/4</t>
        </is>
      </c>
      <c r="H9" t="inlineStr">
        <is>
          <t>Да</t>
        </is>
      </c>
      <c r="I9" s="5" t="inlineStr">
        <is>
          <t>https://realty.yandex.ru/offer/63027999561318184</t>
        </is>
      </c>
    </row>
    <row r="10">
      <c r="A10" t="inlineStr">
        <is>
          <t>Россия, Самара, Ташкентская улица, 169</t>
        </is>
      </c>
      <c r="B10" s="2" t="n">
        <v>2300000</v>
      </c>
      <c r="C10" s="3" t="n">
        <v>55.1</v>
      </c>
      <c r="D10" s="2" t="n">
        <v>41742</v>
      </c>
      <c r="E10" s="4" t="n">
        <v>8.9</v>
      </c>
      <c r="F10" t="inlineStr">
        <is>
          <t>тот же город</t>
        </is>
      </c>
      <c r="G10" t="inlineStr">
        <is>
          <t>3/4</t>
        </is>
      </c>
      <c r="H10" t="inlineStr">
        <is>
          <t>Да</t>
        </is>
      </c>
      <c r="I10" s="5" t="inlineStr">
        <is>
          <t>https://realty.yandex.ru/offer/7288260611761479680</t>
        </is>
      </c>
    </row>
    <row r="11">
      <c r="A11" t="inlineStr">
        <is>
          <t>Россия, Самара, Революционная улица, 70лит1</t>
        </is>
      </c>
      <c r="B11" s="2" t="n">
        <v>4350000</v>
      </c>
      <c r="C11" s="3" t="n">
        <v>66</v>
      </c>
      <c r="D11" s="2" t="n">
        <v>65909</v>
      </c>
      <c r="E11" s="4" t="n">
        <v>9.1</v>
      </c>
      <c r="F11" t="inlineStr">
        <is>
          <t>тот же город</t>
        </is>
      </c>
      <c r="G11" t="inlineStr">
        <is>
          <t>4/4</t>
        </is>
      </c>
      <c r="H11" t="inlineStr">
        <is>
          <t>Да</t>
        </is>
      </c>
      <c r="I11" s="5" t="inlineStr">
        <is>
          <t>https://realty.yandex.ru/offer/6350934387590104479</t>
        </is>
      </c>
    </row>
    <row r="12">
      <c r="A12" t="inlineStr">
        <is>
          <t>Россия, Самара, проспект Карла Маркса, 192</t>
        </is>
      </c>
      <c r="B12" s="2" t="n">
        <v>6600000</v>
      </c>
      <c r="C12" s="3" t="n">
        <v>66</v>
      </c>
      <c r="D12" s="2" t="n">
        <v>100000</v>
      </c>
      <c r="E12" s="4" t="n">
        <v>9.1</v>
      </c>
      <c r="F12" t="inlineStr">
        <is>
          <t>тот же город</t>
        </is>
      </c>
      <c r="G12" t="inlineStr">
        <is>
          <t>7/10</t>
        </is>
      </c>
      <c r="H12" t="inlineStr">
        <is>
          <t>Да</t>
        </is>
      </c>
      <c r="I12" s="5" t="inlineStr">
        <is>
          <t>https://mls-city.ru/prcomm/273_4/19024_273_1/</t>
        </is>
      </c>
    </row>
    <row r="13">
      <c r="A13" t="inlineStr">
        <is>
          <t>Россия, Самара, Ташкентская улица, 169</t>
        </is>
      </c>
      <c r="B13" s="2" t="n">
        <v>3240000</v>
      </c>
      <c r="C13" s="3" t="n">
        <v>53.4</v>
      </c>
      <c r="D13" s="2" t="n">
        <v>60674</v>
      </c>
      <c r="E13" s="4" t="n">
        <v>11.7</v>
      </c>
      <c r="F13" t="inlineStr">
        <is>
          <t>тот же город</t>
        </is>
      </c>
      <c r="G13" t="inlineStr">
        <is>
          <t>4/4</t>
        </is>
      </c>
      <c r="H13" t="inlineStr">
        <is>
          <t>Да</t>
        </is>
      </c>
      <c r="I13" s="5" t="inlineStr">
        <is>
          <t>https://realty.yandex.ru/offer/63028105198236991</t>
        </is>
      </c>
    </row>
    <row r="14">
      <c r="A14" t="inlineStr">
        <is>
          <t>Россия, Самара, улица Губанова, 3</t>
        </is>
      </c>
      <c r="B14" s="2" t="n">
        <v>4500000</v>
      </c>
      <c r="C14" s="3" t="n">
        <v>53.2</v>
      </c>
      <c r="D14" s="2" t="n">
        <v>84586</v>
      </c>
      <c r="E14" s="4" t="n">
        <v>12.1</v>
      </c>
      <c r="F14" t="inlineStr">
        <is>
          <t>тот же город</t>
        </is>
      </c>
      <c r="G14" t="inlineStr">
        <is>
          <t>5/5</t>
        </is>
      </c>
      <c r="H14" t="inlineStr">
        <is>
          <t>Да</t>
        </is>
      </c>
      <c r="I14" s="5" t="inlineStr">
        <is>
          <t>https://mls-city.ru/prcomm/273_53/17285_273_1/</t>
        </is>
      </c>
    </row>
    <row r="15">
      <c r="A15" t="inlineStr">
        <is>
          <t>Россия, Самара, Ташкентская улица, 169</t>
        </is>
      </c>
      <c r="B15" s="2" t="n">
        <v>1750000</v>
      </c>
      <c r="C15" s="3" t="n">
        <v>52.6</v>
      </c>
      <c r="D15" s="2" t="n">
        <v>33270</v>
      </c>
      <c r="E15" s="4" t="n">
        <v>13.1</v>
      </c>
      <c r="F15" t="inlineStr">
        <is>
          <t>тот же город</t>
        </is>
      </c>
      <c r="G15" t="inlineStr">
        <is>
          <t>3/4</t>
        </is>
      </c>
      <c r="H15" t="inlineStr">
        <is>
          <t>Да</t>
        </is>
      </c>
      <c r="I15" s="5" t="inlineStr">
        <is>
          <t>https://realty.yandex.ru/offer/7540093396469015296</t>
        </is>
      </c>
    </row>
    <row r="16">
      <c r="A16" t="inlineStr">
        <is>
          <t>Россия, Самара, Московское шоссе, 81Б</t>
        </is>
      </c>
      <c r="B16" s="2" t="n">
        <v>3400000</v>
      </c>
      <c r="C16" s="3" t="n">
        <v>70</v>
      </c>
      <c r="D16" s="2" t="n">
        <v>48571</v>
      </c>
      <c r="E16" s="4" t="n">
        <v>15.7</v>
      </c>
      <c r="F16" t="inlineStr">
        <is>
          <t>тот же город</t>
        </is>
      </c>
      <c r="G16" t="inlineStr">
        <is>
          <t>1/2</t>
        </is>
      </c>
      <c r="H16" t="inlineStr">
        <is>
          <t>Да</t>
        </is>
      </c>
      <c r="I16" s="5" t="inlineStr">
        <is>
          <t>https://arrpro.ru/objects/getbyid.php?external_id=23c3f688-ecc8-4191-afc5-aca59e817e73</t>
        </is>
      </c>
    </row>
    <row r="17">
      <c r="A17" t="inlineStr">
        <is>
          <t>Россия, Самара, проспект Кирова, 175</t>
        </is>
      </c>
      <c r="B17" s="2" t="n">
        <v>4500000</v>
      </c>
      <c r="C17" s="3" t="n">
        <v>70</v>
      </c>
      <c r="D17" s="2" t="n">
        <v>64286</v>
      </c>
      <c r="E17" s="4" t="n">
        <v>15.7</v>
      </c>
      <c r="F17" t="inlineStr">
        <is>
          <t>тот же город</t>
        </is>
      </c>
      <c r="G17" t="inlineStr">
        <is>
          <t>1/2</t>
        </is>
      </c>
      <c r="H17" t="inlineStr">
        <is>
          <t>Да</t>
        </is>
      </c>
      <c r="I17" s="5" t="inlineStr">
        <is>
          <t>https://arrpro.ru/objects/getbyid.php?external_id=96adeee7-6d46-4fcf-8a35-d9c99f1e02c7</t>
        </is>
      </c>
    </row>
    <row r="18">
      <c r="A18" t="inlineStr">
        <is>
          <t>Россия, Самара, Революционная улица, 70с3</t>
        </is>
      </c>
      <c r="B18" s="2" t="n">
        <v>3100000</v>
      </c>
      <c r="C18" s="3" t="n">
        <v>50</v>
      </c>
      <c r="D18" s="2" t="n">
        <v>62000</v>
      </c>
      <c r="E18" s="4" t="n">
        <v>17.4</v>
      </c>
      <c r="F18" t="inlineStr">
        <is>
          <t>тот же город</t>
        </is>
      </c>
      <c r="G18" t="inlineStr">
        <is>
          <t>2/5</t>
        </is>
      </c>
      <c r="H18" t="inlineStr">
        <is>
          <t>Да</t>
        </is>
      </c>
      <c r="I18" s="5" t="inlineStr">
        <is>
          <t>https://realty.yandex.ru/offer/3939902066685347056</t>
        </is>
      </c>
    </row>
    <row r="19">
      <c r="A19" t="inlineStr">
        <is>
          <t>Россия, Самара, улица Антонова-Овсеенко, 44А</t>
        </is>
      </c>
      <c r="B19" s="2" t="n">
        <v>6000000</v>
      </c>
      <c r="C19" s="3" t="n">
        <v>49</v>
      </c>
      <c r="D19" s="2" t="n">
        <v>122449</v>
      </c>
      <c r="E19" s="4" t="n">
        <v>19</v>
      </c>
      <c r="F19" t="inlineStr">
        <is>
          <t>тот же город</t>
        </is>
      </c>
      <c r="G19" t="inlineStr">
        <is>
          <t>5/5</t>
        </is>
      </c>
      <c r="H19" t="inlineStr">
        <is>
          <t>Да</t>
        </is>
      </c>
      <c r="I19" s="5" t="inlineStr">
        <is>
          <t>https://realty.yandex.ru/offer/6035218990732135837</t>
        </is>
      </c>
    </row>
    <row r="20">
      <c r="A20" t="inlineStr">
        <is>
          <t>Россия, Самара, улица Промышленности, 263</t>
        </is>
      </c>
      <c r="B20" s="2" t="n">
        <v>4500000</v>
      </c>
      <c r="C20" s="3" t="n">
        <v>44.3</v>
      </c>
      <c r="D20" s="2" t="n">
        <v>101580</v>
      </c>
      <c r="E20" s="4" t="n">
        <v>26.8</v>
      </c>
      <c r="F20" t="inlineStr">
        <is>
          <t>тот же город</t>
        </is>
      </c>
      <c r="G20" t="inlineStr">
        <is>
          <t>1/1</t>
        </is>
      </c>
      <c r="H20" t="inlineStr">
        <is>
          <t>Да</t>
        </is>
      </c>
      <c r="I20" s="5" t="inlineStr">
        <is>
          <t>https://arrpro.ru/objects/getbyid.php?external_id=bfc50812-e332-44f4-b1ce-6a7fd5c2ad9e</t>
        </is>
      </c>
    </row>
    <row r="21">
      <c r="A21" t="inlineStr">
        <is>
          <t>Россия, Самара, улица Стара-Загора, 56</t>
        </is>
      </c>
      <c r="B21" s="2" t="n">
        <v>4380000</v>
      </c>
      <c r="C21" s="3" t="n">
        <v>43.8</v>
      </c>
      <c r="D21" s="2" t="n">
        <v>100000</v>
      </c>
      <c r="E21" s="4" t="n">
        <v>27.6</v>
      </c>
      <c r="F21" t="inlineStr">
        <is>
          <t>тот же город</t>
        </is>
      </c>
      <c r="G21" t="inlineStr">
        <is>
          <t>14/14</t>
        </is>
      </c>
      <c r="H21" t="inlineStr">
        <is>
          <t>Да</t>
        </is>
      </c>
      <c r="I21" s="5" t="inlineStr">
        <is>
          <t>https://realty.yandex.ru/offer/63028028016012157</t>
        </is>
      </c>
    </row>
    <row r="22">
      <c r="A22" t="inlineStr">
        <is>
          <t>Россия, Самара, улица Дыбенко, 5</t>
        </is>
      </c>
      <c r="B22" s="2" t="n">
        <v>17380000</v>
      </c>
      <c r="C22" s="3" t="n">
        <v>79</v>
      </c>
      <c r="D22" s="2" t="n">
        <v>220000</v>
      </c>
      <c r="E22" s="4" t="n">
        <v>30.6</v>
      </c>
      <c r="F22" t="inlineStr">
        <is>
          <t>тот же город</t>
        </is>
      </c>
      <c r="G22" t="inlineStr">
        <is>
          <t>2/27</t>
        </is>
      </c>
      <c r="H22" t="inlineStr">
        <is>
          <t>Да</t>
        </is>
      </c>
      <c r="I22" s="5" t="inlineStr">
        <is>
          <t>https://mls-city.ru/prcomm/273_147/17335_273_1/</t>
        </is>
      </c>
    </row>
    <row r="23">
      <c r="A23" t="inlineStr">
        <is>
          <t>Россия, Самара, Костромской переулок, 10</t>
        </is>
      </c>
      <c r="B23" s="2" t="n">
        <v>8000000</v>
      </c>
      <c r="C23" s="3" t="n">
        <v>79.09999999999999</v>
      </c>
      <c r="D23" s="2" t="n">
        <v>101138</v>
      </c>
      <c r="E23" s="4" t="n">
        <v>30.7</v>
      </c>
      <c r="F23" t="inlineStr">
        <is>
          <t>тот же город</t>
        </is>
      </c>
      <c r="G23" t="inlineStr">
        <is>
          <t>2/2</t>
        </is>
      </c>
      <c r="H23" t="inlineStr">
        <is>
          <t>Да</t>
        </is>
      </c>
      <c r="I23" s="5" t="inlineStr">
        <is>
          <t>https://arrpro.ru/objects/getbyid.php?external_id=671c6695-067c-424a-a016-5e658942be40</t>
        </is>
      </c>
    </row>
    <row r="24">
      <c r="A24" t="inlineStr">
        <is>
          <t>Россия, Самара, улица Губанова, 3</t>
        </is>
      </c>
      <c r="B24" s="2" t="n">
        <v>6500000</v>
      </c>
      <c r="C24" s="3" t="n">
        <v>79.40000000000001</v>
      </c>
      <c r="D24" s="2" t="n">
        <v>81864</v>
      </c>
      <c r="E24" s="4" t="n">
        <v>31.2</v>
      </c>
      <c r="F24" t="inlineStr">
        <is>
          <t>тот же город</t>
        </is>
      </c>
      <c r="G24" t="inlineStr">
        <is>
          <t>5/5</t>
        </is>
      </c>
      <c r="H24" t="inlineStr">
        <is>
          <t>Да</t>
        </is>
      </c>
      <c r="I24" s="5" t="inlineStr">
        <is>
          <t>https://mls-city.ru/prcomm/130_12/23_130_1/</t>
        </is>
      </c>
    </row>
    <row r="25">
      <c r="A25" t="inlineStr">
        <is>
          <t>Россия, Самара, улица Фрунзе, 161</t>
        </is>
      </c>
      <c r="B25" s="2" t="n">
        <v>7800000</v>
      </c>
      <c r="C25" s="3" t="n">
        <v>80</v>
      </c>
      <c r="D25" s="2" t="n">
        <v>97500</v>
      </c>
      <c r="E25" s="4" t="n">
        <v>32.2</v>
      </c>
      <c r="F25" t="inlineStr">
        <is>
          <t>тот же город</t>
        </is>
      </c>
      <c r="G25" t="inlineStr">
        <is>
          <t>1/1</t>
        </is>
      </c>
      <c r="H25" t="inlineStr">
        <is>
          <t>Да</t>
        </is>
      </c>
      <c r="I25" s="5" t="inlineStr">
        <is>
          <t>https://mls-city.ru/prcomm/514_14/568_514_1/</t>
        </is>
      </c>
    </row>
    <row r="26">
      <c r="A26" t="inlineStr">
        <is>
          <t>Россия, Самара, улица Фрунзе, 161</t>
        </is>
      </c>
      <c r="B26" s="2" t="n">
        <v>8500000</v>
      </c>
      <c r="C26" s="3" t="n">
        <v>80</v>
      </c>
      <c r="D26" s="2" t="n">
        <v>106250</v>
      </c>
      <c r="E26" s="4" t="n">
        <v>32.2</v>
      </c>
      <c r="F26" t="inlineStr">
        <is>
          <t>тот же город</t>
        </is>
      </c>
      <c r="G26" t="inlineStr">
        <is>
          <t>1/1</t>
        </is>
      </c>
      <c r="H26" t="inlineStr">
        <is>
          <t>Да</t>
        </is>
      </c>
      <c r="I26" s="5" t="inlineStr">
        <is>
          <t>https://arrpro.ru/objects/getbyid.php?external_id=9956c60f-0f62-41bb-90af-4cf20a0a434b</t>
        </is>
      </c>
    </row>
    <row r="27">
      <c r="A27" t="inlineStr">
        <is>
          <t>Россия, Самара, проспект Кирова, 180</t>
        </is>
      </c>
      <c r="B27" s="2" t="n">
        <v>580000</v>
      </c>
      <c r="C27" s="3" t="n">
        <v>80</v>
      </c>
      <c r="D27" s="2" t="n">
        <v>7250</v>
      </c>
      <c r="E27" s="4" t="n">
        <v>32.2</v>
      </c>
      <c r="F27" t="inlineStr">
        <is>
          <t>тот же город</t>
        </is>
      </c>
      <c r="G27" t="inlineStr">
        <is>
          <t>1/1</t>
        </is>
      </c>
      <c r="H27" t="inlineStr">
        <is>
          <t>Да</t>
        </is>
      </c>
      <c r="I27" s="5" t="inlineStr">
        <is>
          <t>https://arrpro.ru/objects/getbyid.php?external_id=5529ca8a-1de4-4fa9-968f-857c8ab9e561</t>
        </is>
      </c>
    </row>
    <row r="28">
      <c r="A28" t="inlineStr">
        <is>
          <t>Россия, Самара, Невская улица, 3</t>
        </is>
      </c>
      <c r="B28" s="2" t="n">
        <v>9636000</v>
      </c>
      <c r="C28" s="3" t="n">
        <v>80.3</v>
      </c>
      <c r="D28" s="2" t="n">
        <v>120000</v>
      </c>
      <c r="E28" s="4" t="n">
        <v>32.7</v>
      </c>
      <c r="F28" t="inlineStr">
        <is>
          <t>тот же город</t>
        </is>
      </c>
      <c r="G28" t="inlineStr">
        <is>
          <t>2/6</t>
        </is>
      </c>
      <c r="H28" t="inlineStr">
        <is>
          <t>Да</t>
        </is>
      </c>
      <c r="I28" s="5" t="inlineStr">
        <is>
          <t>https://arrpro.ru/objects/getbyid.php?external_id=3abca84e-cb74-49b0-9f7a-00de7c84381a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3" customWidth="1" min="3" max="3"/>
    <col width="16" customWidth="1" min="4" max="4"/>
    <col width="18" customWidth="1" min="5" max="5"/>
    <col width="22" customWidth="1" min="6" max="6"/>
    <col width="10" customWidth="1" min="7" max="7"/>
  </cols>
  <sheetData>
    <row r="1">
      <c r="A1" s="6" t="inlineStr">
        <is>
          <t>Кадастровый номер</t>
        </is>
      </c>
      <c r="B1" t="inlineStr">
        <is>
          <t>63:01:0643004:365</t>
        </is>
      </c>
    </row>
    <row r="2">
      <c r="A2" s="6" t="inlineStr">
        <is>
          <t>Адрес</t>
        </is>
      </c>
      <c r="B2" t="inlineStr">
        <is>
          <t>Самарская область, г. Самара, Октябрьский район, ул. Санфировой, д. 95,  н59</t>
        </is>
      </c>
    </row>
    <row r="3">
      <c r="A3" s="6" t="inlineStr">
        <is>
          <t>Площадь объекта, м²</t>
        </is>
      </c>
      <c r="B3" s="3" t="n">
        <v>60.5</v>
      </c>
    </row>
    <row r="4">
      <c r="A4" s="6" t="inlineStr">
        <is>
          <t>Кадастровая стоимость, ₽</t>
        </is>
      </c>
      <c r="B4" s="2" t="n">
        <v>3554799.71</v>
      </c>
    </row>
    <row r="6">
      <c r="A6" s="1" t="inlineStr">
        <is>
          <t>Адрес</t>
        </is>
      </c>
      <c r="B6" s="1" t="inlineStr">
        <is>
          <t>Цена, ₽</t>
        </is>
      </c>
      <c r="C6" s="1" t="inlineStr">
        <is>
          <t>Площадь, м²</t>
        </is>
      </c>
      <c r="D6" s="1" t="inlineStr">
        <is>
          <t>Цена за м², ₽</t>
        </is>
      </c>
      <c r="E6" s="1" t="inlineStr">
        <is>
          <t>Корректировка, %</t>
        </is>
      </c>
      <c r="F6" s="1" t="inlineStr">
        <is>
          <t>Скорр. цена за м², ₽</t>
        </is>
      </c>
      <c r="G6" s="1" t="inlineStr">
        <is>
          <t>Вес</t>
        </is>
      </c>
    </row>
    <row r="7">
      <c r="A7" t="inlineStr">
        <is>
          <t>Россия, Самара, посёлок Красная Глинка, 2-й квартал, 13</t>
        </is>
      </c>
      <c r="B7" s="2" t="n">
        <v>4900000</v>
      </c>
      <c r="C7" s="3" t="n">
        <v>60</v>
      </c>
      <c r="D7" s="2">
        <f>B7/C7</f>
        <v/>
      </c>
      <c r="E7" s="7" t="n">
        <v>0</v>
      </c>
      <c r="F7" s="2">
        <f>D7*(1+E7/100)</f>
        <v/>
      </c>
      <c r="G7" s="7" t="n">
        <v>1</v>
      </c>
    </row>
    <row r="8">
      <c r="A8" t="inlineStr">
        <is>
          <t>Россия, Самара, Революционная улица, 70лит2</t>
        </is>
      </c>
      <c r="B8" s="2" t="n">
        <v>5091000</v>
      </c>
      <c r="C8" s="3" t="n">
        <v>59.9</v>
      </c>
      <c r="D8" s="2">
        <f>B8/C8</f>
        <v/>
      </c>
      <c r="E8" s="7" t="n">
        <v>0</v>
      </c>
      <c r="F8" s="2">
        <f>D8*(1+E8/100)</f>
        <v/>
      </c>
      <c r="G8" s="7" t="n">
        <v>1</v>
      </c>
    </row>
    <row r="9">
      <c r="A9" t="inlineStr">
        <is>
          <t>Россия, Самара, 6-я просека, 148</t>
        </is>
      </c>
      <c r="B9" s="2" t="n">
        <v>7850000</v>
      </c>
      <c r="C9" s="3" t="n">
        <v>59.6</v>
      </c>
      <c r="D9" s="2">
        <f>B9/C9</f>
        <v/>
      </c>
      <c r="E9" s="7" t="n">
        <v>0</v>
      </c>
      <c r="F9" s="2">
        <f>D9*(1+E9/100)</f>
        <v/>
      </c>
      <c r="G9" s="7" t="n">
        <v>1</v>
      </c>
    </row>
    <row r="10">
      <c r="A10" t="inlineStr">
        <is>
          <t>Россия, Самара, 6-я просека, 148</t>
        </is>
      </c>
      <c r="B10" s="2" t="n">
        <v>7400000</v>
      </c>
      <c r="C10" s="3" t="n">
        <v>59.6</v>
      </c>
      <c r="D10" s="2">
        <f>B10/C10</f>
        <v/>
      </c>
      <c r="E10" s="7" t="n">
        <v>0</v>
      </c>
      <c r="F10" s="2">
        <f>D10*(1+E10/100)</f>
        <v/>
      </c>
      <c r="G10" s="7" t="n">
        <v>1</v>
      </c>
    </row>
    <row r="11">
      <c r="A11" t="inlineStr">
        <is>
          <t>Россия, Самара, Московское шоссе, 81А</t>
        </is>
      </c>
      <c r="B11" s="2" t="n">
        <v>5270000</v>
      </c>
      <c r="C11" s="3" t="n">
        <v>62</v>
      </c>
      <c r="D11" s="2">
        <f>B11/C11</f>
        <v/>
      </c>
      <c r="E11" s="7" t="n">
        <v>0</v>
      </c>
      <c r="F11" s="2">
        <f>D11*(1+E11/100)</f>
        <v/>
      </c>
      <c r="G11" s="7" t="n">
        <v>1</v>
      </c>
    </row>
    <row r="12">
      <c r="A12" t="inlineStr">
        <is>
          <t>Россия, Самара, улица Антонова-Овсеенко, 44А</t>
        </is>
      </c>
      <c r="B12" s="2" t="n">
        <v>6300000</v>
      </c>
      <c r="C12" s="3" t="n">
        <v>63.1</v>
      </c>
      <c r="D12" s="2">
        <f>B12/C12</f>
        <v/>
      </c>
      <c r="E12" s="7" t="n">
        <v>0</v>
      </c>
      <c r="F12" s="2">
        <f>D12*(1+E12/100)</f>
        <v/>
      </c>
      <c r="G12" s="7" t="n">
        <v>1</v>
      </c>
    </row>
    <row r="13">
      <c r="A13" t="inlineStr">
        <is>
          <t>Россия, Самара, посёлок Красный Пахарь, 29</t>
        </is>
      </c>
      <c r="B13" s="2" t="n">
        <v>1000000</v>
      </c>
      <c r="C13" s="3" t="n">
        <v>64.3</v>
      </c>
      <c r="D13" s="2">
        <f>B13/C13</f>
        <v/>
      </c>
      <c r="E13" s="7" t="n">
        <v>0</v>
      </c>
      <c r="F13" s="2">
        <f>D13*(1+E13/100)</f>
        <v/>
      </c>
      <c r="G13" s="7" t="n">
        <v>1</v>
      </c>
    </row>
    <row r="14">
      <c r="A14" t="inlineStr">
        <is>
          <t>Россия, Самара, улица Куйбышева, 48</t>
        </is>
      </c>
      <c r="B14" s="2" t="n">
        <v>3480000</v>
      </c>
      <c r="C14" s="3" t="n">
        <v>55.9</v>
      </c>
      <c r="D14" s="2">
        <f>B14/C14</f>
        <v/>
      </c>
      <c r="E14" s="7" t="n">
        <v>0</v>
      </c>
      <c r="F14" s="2">
        <f>D14*(1+E14/100)</f>
        <v/>
      </c>
      <c r="G14" s="7" t="n">
        <v>1</v>
      </c>
    </row>
    <row r="15">
      <c r="A15" t="inlineStr">
        <is>
          <t>Россия, Самара, Ташкентская улица, 169</t>
        </is>
      </c>
      <c r="B15" s="2" t="n">
        <v>2300000</v>
      </c>
      <c r="C15" s="3" t="n">
        <v>55.1</v>
      </c>
      <c r="D15" s="2">
        <f>B15/C15</f>
        <v/>
      </c>
      <c r="E15" s="7" t="n">
        <v>0</v>
      </c>
      <c r="F15" s="2">
        <f>D15*(1+E15/100)</f>
        <v/>
      </c>
      <c r="G15" s="7" t="n">
        <v>1</v>
      </c>
    </row>
    <row r="16">
      <c r="A16" t="inlineStr">
        <is>
          <t>Россия, Самара, Революционная улица, 70лит1</t>
        </is>
      </c>
      <c r="B16" s="2" t="n">
        <v>4350000</v>
      </c>
      <c r="C16" s="3" t="n">
        <v>66</v>
      </c>
      <c r="D16" s="2">
        <f>B16/C16</f>
        <v/>
      </c>
      <c r="E16" s="7" t="n">
        <v>0</v>
      </c>
      <c r="F16" s="2">
        <f>D16*(1+E16/100)</f>
        <v/>
      </c>
      <c r="G16" s="7" t="n">
        <v>1</v>
      </c>
    </row>
    <row r="17">
      <c r="A17" t="inlineStr">
        <is>
          <t>Россия, Самара, проспект Карла Маркса, 192</t>
        </is>
      </c>
      <c r="B17" s="2" t="n">
        <v>6600000</v>
      </c>
      <c r="C17" s="3" t="n">
        <v>66</v>
      </c>
      <c r="D17" s="2">
        <f>B17/C17</f>
        <v/>
      </c>
      <c r="E17" s="7" t="n">
        <v>0</v>
      </c>
      <c r="F17" s="2">
        <f>D17*(1+E17/100)</f>
        <v/>
      </c>
      <c r="G17" s="7" t="n">
        <v>1</v>
      </c>
    </row>
    <row r="18">
      <c r="A18" t="inlineStr">
        <is>
          <t>Россия, Самара, Ташкентская улица, 169</t>
        </is>
      </c>
      <c r="B18" s="2" t="n">
        <v>3240000</v>
      </c>
      <c r="C18" s="3" t="n">
        <v>53.4</v>
      </c>
      <c r="D18" s="2">
        <f>B18/C18</f>
        <v/>
      </c>
      <c r="E18" s="7" t="n">
        <v>0</v>
      </c>
      <c r="F18" s="2">
        <f>D18*(1+E18/100)</f>
        <v/>
      </c>
      <c r="G18" s="7" t="n">
        <v>1</v>
      </c>
    </row>
    <row r="19">
      <c r="A19" t="inlineStr">
        <is>
          <t>Россия, Самара, улица Губанова, 3</t>
        </is>
      </c>
      <c r="B19" s="2" t="n">
        <v>4500000</v>
      </c>
      <c r="C19" s="3" t="n">
        <v>53.2</v>
      </c>
      <c r="D19" s="2">
        <f>B19/C19</f>
        <v/>
      </c>
      <c r="E19" s="7" t="n">
        <v>0</v>
      </c>
      <c r="F19" s="2">
        <f>D19*(1+E19/100)</f>
        <v/>
      </c>
      <c r="G19" s="7" t="n">
        <v>1</v>
      </c>
    </row>
    <row r="20">
      <c r="A20" t="inlineStr">
        <is>
          <t>Россия, Самара, Ташкентская улица, 169</t>
        </is>
      </c>
      <c r="B20" s="2" t="n">
        <v>1750000</v>
      </c>
      <c r="C20" s="3" t="n">
        <v>52.6</v>
      </c>
      <c r="D20" s="2">
        <f>B20/C20</f>
        <v/>
      </c>
      <c r="E20" s="7" t="n">
        <v>0</v>
      </c>
      <c r="F20" s="2">
        <f>D20*(1+E20/100)</f>
        <v/>
      </c>
      <c r="G20" s="7" t="n">
        <v>1</v>
      </c>
    </row>
    <row r="21">
      <c r="A21" t="inlineStr">
        <is>
          <t>Россия, Самара, Московское шоссе, 81Б</t>
        </is>
      </c>
      <c r="B21" s="2" t="n">
        <v>3400000</v>
      </c>
      <c r="C21" s="3" t="n">
        <v>70</v>
      </c>
      <c r="D21" s="2">
        <f>B21/C21</f>
        <v/>
      </c>
      <c r="E21" s="7" t="n">
        <v>0</v>
      </c>
      <c r="F21" s="2">
        <f>D21*(1+E21/100)</f>
        <v/>
      </c>
      <c r="G21" s="7" t="n">
        <v>1</v>
      </c>
    </row>
    <row r="22">
      <c r="A22" t="inlineStr">
        <is>
          <t>Россия, Самара, проспект Кирова, 175</t>
        </is>
      </c>
      <c r="B22" s="2" t="n">
        <v>4500000</v>
      </c>
      <c r="C22" s="3" t="n">
        <v>70</v>
      </c>
      <c r="D22" s="2">
        <f>B22/C22</f>
        <v/>
      </c>
      <c r="E22" s="7" t="n">
        <v>0</v>
      </c>
      <c r="F22" s="2">
        <f>D22*(1+E22/100)</f>
        <v/>
      </c>
      <c r="G22" s="7" t="n">
        <v>1</v>
      </c>
    </row>
    <row r="23">
      <c r="A23" t="inlineStr">
        <is>
          <t>Россия, Самара, Революционная улица, 70с3</t>
        </is>
      </c>
      <c r="B23" s="2" t="n">
        <v>3100000</v>
      </c>
      <c r="C23" s="3" t="n">
        <v>50</v>
      </c>
      <c r="D23" s="2">
        <f>B23/C23</f>
        <v/>
      </c>
      <c r="E23" s="7" t="n">
        <v>0</v>
      </c>
      <c r="F23" s="2">
        <f>D23*(1+E23/100)</f>
        <v/>
      </c>
      <c r="G23" s="7" t="n">
        <v>1</v>
      </c>
    </row>
    <row r="24">
      <c r="A24" t="inlineStr">
        <is>
          <t>Россия, Самара, улица Антонова-Овсеенко, 44А</t>
        </is>
      </c>
      <c r="B24" s="2" t="n">
        <v>6000000</v>
      </c>
      <c r="C24" s="3" t="n">
        <v>49</v>
      </c>
      <c r="D24" s="2">
        <f>B24/C24</f>
        <v/>
      </c>
      <c r="E24" s="7" t="n">
        <v>0</v>
      </c>
      <c r="F24" s="2">
        <f>D24*(1+E24/100)</f>
        <v/>
      </c>
      <c r="G24" s="7" t="n">
        <v>1</v>
      </c>
    </row>
    <row r="25">
      <c r="A25" t="inlineStr">
        <is>
          <t>Россия, Самара, улица Промышленности, 263</t>
        </is>
      </c>
      <c r="B25" s="2" t="n">
        <v>4500000</v>
      </c>
      <c r="C25" s="3" t="n">
        <v>44.3</v>
      </c>
      <c r="D25" s="2">
        <f>B25/C25</f>
        <v/>
      </c>
      <c r="E25" s="7" t="n">
        <v>0</v>
      </c>
      <c r="F25" s="2">
        <f>D25*(1+E25/100)</f>
        <v/>
      </c>
      <c r="G25" s="7" t="n">
        <v>1</v>
      </c>
    </row>
    <row r="26">
      <c r="A26" t="inlineStr">
        <is>
          <t>Россия, Самара, улица Стара-Загора, 56</t>
        </is>
      </c>
      <c r="B26" s="2" t="n">
        <v>4380000</v>
      </c>
      <c r="C26" s="3" t="n">
        <v>43.8</v>
      </c>
      <c r="D26" s="2">
        <f>B26/C26</f>
        <v/>
      </c>
      <c r="E26" s="7" t="n">
        <v>0</v>
      </c>
      <c r="F26" s="2">
        <f>D26*(1+E26/100)</f>
        <v/>
      </c>
      <c r="G26" s="7" t="n">
        <v>1</v>
      </c>
    </row>
    <row r="27">
      <c r="A27" t="inlineStr">
        <is>
          <t>Россия, Самара, улица Дыбенко, 5</t>
        </is>
      </c>
      <c r="B27" s="2" t="n">
        <v>17380000</v>
      </c>
      <c r="C27" s="3" t="n">
        <v>79</v>
      </c>
      <c r="D27" s="2">
        <f>B27/C27</f>
        <v/>
      </c>
      <c r="E27" s="7" t="n">
        <v>0</v>
      </c>
      <c r="F27" s="2">
        <f>D27*(1+E27/100)</f>
        <v/>
      </c>
      <c r="G27" s="7" t="n">
        <v>1</v>
      </c>
    </row>
    <row r="28">
      <c r="A28" t="inlineStr">
        <is>
          <t>Россия, Самара, Костромской переулок, 10</t>
        </is>
      </c>
      <c r="B28" s="2" t="n">
        <v>8000000</v>
      </c>
      <c r="C28" s="3" t="n">
        <v>79.09999999999999</v>
      </c>
      <c r="D28" s="2">
        <f>B28/C28</f>
        <v/>
      </c>
      <c r="E28" s="7" t="n">
        <v>0</v>
      </c>
      <c r="F28" s="2">
        <f>D28*(1+E28/100)</f>
        <v/>
      </c>
      <c r="G28" s="7" t="n">
        <v>1</v>
      </c>
    </row>
    <row r="29">
      <c r="A29" t="inlineStr">
        <is>
          <t>Россия, Самара, улица Губанова, 3</t>
        </is>
      </c>
      <c r="B29" s="2" t="n">
        <v>6500000</v>
      </c>
      <c r="C29" s="3" t="n">
        <v>79.40000000000001</v>
      </c>
      <c r="D29" s="2">
        <f>B29/C29</f>
        <v/>
      </c>
      <c r="E29" s="7" t="n">
        <v>0</v>
      </c>
      <c r="F29" s="2">
        <f>D29*(1+E29/100)</f>
        <v/>
      </c>
      <c r="G29" s="7" t="n">
        <v>1</v>
      </c>
    </row>
    <row r="30">
      <c r="A30" t="inlineStr">
        <is>
          <t>Россия, Самара, улица Фрунзе, 161</t>
        </is>
      </c>
      <c r="B30" s="2" t="n">
        <v>7800000</v>
      </c>
      <c r="C30" s="3" t="n">
        <v>80</v>
      </c>
      <c r="D30" s="2">
        <f>B30/C30</f>
        <v/>
      </c>
      <c r="E30" s="7" t="n">
        <v>0</v>
      </c>
      <c r="F30" s="2">
        <f>D30*(1+E30/100)</f>
        <v/>
      </c>
      <c r="G30" s="7" t="n">
        <v>1</v>
      </c>
    </row>
    <row r="31">
      <c r="A31" t="inlineStr">
        <is>
          <t>Россия, Самара, улица Фрунзе, 161</t>
        </is>
      </c>
      <c r="B31" s="2" t="n">
        <v>8500000</v>
      </c>
      <c r="C31" s="3" t="n">
        <v>80</v>
      </c>
      <c r="D31" s="2">
        <f>B31/C31</f>
        <v/>
      </c>
      <c r="E31" s="7" t="n">
        <v>0</v>
      </c>
      <c r="F31" s="2">
        <f>D31*(1+E31/100)</f>
        <v/>
      </c>
      <c r="G31" s="7" t="n">
        <v>1</v>
      </c>
    </row>
    <row r="32">
      <c r="A32" t="inlineStr">
        <is>
          <t>Россия, Самара, проспект Кирова, 180</t>
        </is>
      </c>
      <c r="B32" s="2" t="n">
        <v>580000</v>
      </c>
      <c r="C32" s="3" t="n">
        <v>80</v>
      </c>
      <c r="D32" s="2">
        <f>B32/C32</f>
        <v/>
      </c>
      <c r="E32" s="7" t="n">
        <v>0</v>
      </c>
      <c r="F32" s="2">
        <f>D32*(1+E32/100)</f>
        <v/>
      </c>
      <c r="G32" s="7" t="n">
        <v>1</v>
      </c>
    </row>
    <row r="33">
      <c r="A33" t="inlineStr">
        <is>
          <t>Россия, Самара, Невская улица, 3</t>
        </is>
      </c>
      <c r="B33" s="2" t="n">
        <v>9636000</v>
      </c>
      <c r="C33" s="3" t="n">
        <v>80.3</v>
      </c>
      <c r="D33" s="2">
        <f>B33/C33</f>
        <v/>
      </c>
      <c r="E33" s="7" t="n">
        <v>0</v>
      </c>
      <c r="F33" s="2">
        <f>D33*(1+E33/100)</f>
        <v/>
      </c>
      <c r="G33" s="7" t="n">
        <v>1</v>
      </c>
    </row>
    <row r="35">
      <c r="A35" s="8" t="inlineStr">
        <is>
          <t>Средневзвешенная цена за м², ₽</t>
        </is>
      </c>
      <c r="F35" s="9">
        <f>IFERROR(SUMPRODUCT(F7:F33,G7:G33)/SUM(G7:G33),0)</f>
        <v/>
      </c>
    </row>
    <row r="36">
      <c r="A36" s="8" t="inlineStr">
        <is>
          <t>Ориентир стоимости объекта, ₽</t>
        </is>
      </c>
      <c r="F36" s="9">
        <f>IFERROR(F35*B3,0)</f>
        <v/>
      </c>
    </row>
  </sheetData>
  <mergeCells count="2">
    <mergeCell ref="A35:E35"/>
    <mergeCell ref="A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2026-10-01T17:26:44Z</dcterms:created>
  <dcterms:modified xmlns:dcterms="http://purl.org/dc/terms/" xmlns:xsi="http://www.w3.org/2001/XMLSchema-instance" xsi:type="dcterms:W3CDTF">2026-10-01T17:26:44Z</dcterms:modified>
</cp:coreProperties>
</file>